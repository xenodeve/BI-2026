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ca48ce8a2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entation" sheetId="1" r:id="R5e6b1c6d9a0f4143"/>
    <x:sheet xmlns:r="http://schemas.openxmlformats.org/officeDocument/2006/relationships" name="Province Ranking" sheetId="2" r:id="R3112c3ab1faa4c08"/>
    <x:sheet xmlns:r="http://schemas.openxmlformats.org/officeDocument/2006/relationships" name="Raw Data" sheetId="3" r:id="R9e4bbc4d356c4da2"/>
    <x:sheet xmlns:r="http://schemas.openxmlformats.org/officeDocument/2006/relationships" name="Cleansed Data" sheetId="4" r:id="R36e75d5df71d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4">
    <x:font>
      <x:sz val="11"/>
      <x:name val="Carlito"/>
    </x:font>
    <x:font>
      <x:sz val="11"/>
      <x:color rgb="FF263442"/>
      <x:name val="Arial"/>
    </x:font>
    <x:font>
      <x:b/>
      <x:sz val="11"/>
      <x:color rgb="FFFFFFFF"/>
      <x:name val="Arial"/>
    </x:font>
    <x:font>
      <x:b/>
      <x:sz val="16"/>
      <x:color rgb="FF203A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00000"/>
      </x:font>
      <x:fill>
        <x:patternFill patternType="solid">
          <x:bgColor rgb="FFFF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6c019041d4aa4" /><Relationship Type="http://schemas.openxmlformats.org/officeDocument/2006/relationships/theme" Target="/xl/theme/theme1.xml" Id="R6f1ec998e25d4270" /><Relationship Type="http://schemas.openxmlformats.org/officeDocument/2006/relationships/sharedStrings" Target="/xl/sharedStrings.xml" Id="Rfc2557ad253f46aa" /><Relationship Type="http://schemas.openxmlformats.org/officeDocument/2006/relationships/worksheet" Target="/xl/worksheets/sheet1.xml" Id="R5e6b1c6d9a0f4143" /><Relationship Type="http://schemas.openxmlformats.org/officeDocument/2006/relationships/worksheet" Target="/xl/worksheets/sheet2.xml" Id="R3112c3ab1faa4c08" /><Relationship Type="http://schemas.openxmlformats.org/officeDocument/2006/relationships/worksheet" Target="/xl/worksheets/sheet3.xml" Id="R9e4bbc4d356c4da2" /><Relationship Type="http://schemas.openxmlformats.org/officeDocument/2006/relationships/worksheet" Target="/xl/worksheets/sheet4.xml" Id="R36e75d5df71d49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28fd22a0684840" /><Relationship Type="http://schemas.openxmlformats.org/officeDocument/2006/relationships/chart" Target="/xl/drawings/charts/chart2.xml" Id="R31c0b41a42054a45" /><Relationship Type="http://schemas.openxmlformats.org/officeDocument/2006/relationships/chart" Target="/xl/drawings/charts/chart3.xml" Id="R5d947ef8c82a4a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10 จังหวัดที่มีประชากรมากที่สุด (คน)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ประชากร (คน)</c:v>
          </c:tx>
          <c:spPr>
            <a:solidFill xmlns:a="http://schemas.openxmlformats.org/drawingml/2006/main">
              <a:srgbClr val="4778AE"/>
            </a:solidFill>
          </c:spPr>
          <c:cat>
            <c:strRef>
              <c:f>'Presentation'!$A$15:$A$24</c:f>
              <c:strCache>
                <c:ptCount val="0"/>
              </c:strCache>
            </c:strRef>
          </c:cat>
          <c:val>
            <c:numRef>
              <c:f>'Presentation'!$B$15:$B$24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ประชากรชายและหญิง (คน)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คน</c:v>
          </c:tx>
          <c:cat>
            <c:strRef>
              <c:f>'Presentation'!$A$35:$A$36</c:f>
              <c:strCache>
                <c:ptCount val="0"/>
              </c:strCache>
            </c:strRef>
          </c:cat>
          <c:val>
            <c:numRef>
              <c:f>'Presentation'!$B$35:$B$36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ประชากรไทยและไม่ใช่ไทย (คน)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คน</c:v>
          </c:tx>
          <c:cat>
            <c:strRef>
              <c:f>'Presentation'!$A$43:$A$44</c:f>
              <c:strCache>
                <c:ptCount val="0"/>
              </c:strCache>
            </c:strRef>
          </c:cat>
          <c:val>
            <c:numRef>
              <c:f>'Presentation'!$B$43:$B$44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28fd22a0684840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c0b41a42054a45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13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947ef8c82a4a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79b8d332aa446d" /></Relationships>
</file>

<file path=xl/worksheets/sheet1.xml><?xml version="1.0" encoding="utf-8"?>
<x:worksheet xmlns:x="http://schemas.openxmlformats.org/spreadsheetml/2006/main">
  <x:sheetPr>
    <x:tabColor rgb="FF203A5F"/>
  </x:sheetPr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3" t="str">
        <x:v>ประชากรประเทศไทย | มกราคม 2569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10" t="str">
        <x:v>ภาพรวม</x:v>
      </x:c>
      <x:c r="B5" s="10" t="str">
        <x:v>คน</x:v>
      </x:c>
      <x:c r="C5" s="2"/>
      <x:c r="D5" s="12" t="str">
        <x:v>สรุปจาก 77 จังหวัด ไม่รวมแถว “ยอดรวมทั้งหมด” ซ้ำ</x:v>
      </x:c>
      <x:c r="E5" s="12"/>
      <x:c r="F5" s="12"/>
      <x:c r="G5" s="12"/>
      <x:c r="H5" s="12"/>
      <x:c r="I5" s="12"/>
      <x:c r="J5" s="12"/>
      <x:c r="K5" s="12"/>
      <x:c r="L5" s="12"/>
    </x:row>
    <x:row r="6" ht="30" customHeight="1">
      <x:c r="A6" s="2" t="str">
        <x:v>ประชากรทั้งหมด</x:v>
      </x:c>
      <x:c r="B6" s="3" t="n">
        <x:f>SUM('Cleansed Data'!J2:J78)</x:f>
        <x:v>65788661</x:v>
      </x:c>
      <x:c r="C6" s="2"/>
      <x:c r="D6" s="12"/>
      <x:c r="E6" s="12"/>
      <x:c r="F6" s="12"/>
      <x:c r="G6" s="12"/>
      <x:c r="H6" s="12"/>
      <x:c r="I6" s="12"/>
      <x:c r="J6" s="12"/>
      <x:c r="K6" s="12"/>
      <x:c r="L6" s="12"/>
    </x:row>
    <x:row r="7" ht="24" customHeight="1">
      <x:c r="A7" s="2" t="str">
        <x:v>ชาย</x:v>
      </x:c>
      <x:c r="B7" s="3" t="n">
        <x:f>SUM('Cleansed Data'!H2:H78)</x:f>
        <x:v>32031832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 t="str">
        <x:v>หญิง</x:v>
      </x:c>
      <x:c r="B8" s="3" t="n">
        <x:f>SUM('Cleansed Data'!I2:I78)</x:f>
        <x:v>33756829</x:v>
      </x:c>
      <x:c r="C8" s="2"/>
      <x:c r="D8" s="12" t="str">
        <x:f>"หญิงมากกว่าชาย "&amp;TEXT(B8-B7,"#,##0")&amp;" คน (หญิง "&amp;TEXT(B8/B6,"0.00%")&amp;")"</x:f>
        <x:v>หญิงมากกว่าชาย 1,724,997 คน (หญิง 51.31%)</x:v>
      </x:c>
      <x:c r="E8" s="12"/>
      <x:c r="F8" s="12"/>
      <x:c r="G8" s="12"/>
      <x:c r="H8" s="12"/>
      <x:c r="I8" s="12"/>
      <x:c r="J8" s="12"/>
      <x:c r="K8" s="12"/>
      <x:c r="L8" s="12"/>
    </x:row>
    <x:row r="9" ht="24" customHeight="1">
      <x:c r="A9" s="2" t="str">
        <x:v>ไทย</x:v>
      </x:c>
      <x:c r="B9" s="3" t="n">
        <x:f>SUM('Cleansed Data'!D2:D78)</x:f>
        <x:v>64801647</x:v>
      </x:c>
      <x:c r="C9" s="2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24" customHeight="1">
      <x:c r="A10" s="2" t="str">
        <x:v>ไม่ใช่ไทย</x:v>
      </x:c>
      <x:c r="B10" s="3" t="n">
        <x:f>SUM('Cleansed Data'!G2:G78)</x:f>
        <x:v>987014</x:v>
      </x:c>
      <x:c r="C10" s="2"/>
      <x:c r="D10" s="12" t="str">
        <x:f>"ประชากรไม่ใช่ไทย "&amp;TEXT(B10/B6,"0.00%")&amp;" ของประชากรทั้งหมด"</x:f>
        <x:v>ประชากรไม่ใช่ไทย 1.50% ของประชากรทั้งหมด</x:v>
      </x:c>
      <x:c r="E10" s="12"/>
      <x:c r="F10" s="12"/>
      <x:c r="G10" s="12"/>
      <x:c r="H10" s="12"/>
      <x:c r="I10" s="12"/>
      <x:c r="J10" s="12"/>
      <x:c r="K10" s="12"/>
      <x:c r="L10" s="12"/>
    </x:row>
    <x:row r="11" ht="24" customHeight="1">
      <x:c r="A11" s="2"/>
      <x:c r="B11" s="2"/>
      <x:c r="C11" s="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30" customHeight="1">
      <x:c r="A14" s="10" t="str">
        <x:v>10 จังหวัดสูงสุด</x:v>
      </x:c>
      <x:c r="B14" s="10" t="str">
        <x:v>ประชากร (คน)</x:v>
      </x:c>
      <x:c r="C14" s="10" t="str">
        <x:v>สัดส่วน</x:v>
      </x:c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 t="str">
        <x:f>'Province Ranking'!B5</x:f>
        <x:v>กรุงเทพมหานคร</x:v>
      </x:c>
      <x:c r="B15" s="3" t="n">
        <x:f>'Province Ranking'!C5</x:f>
        <x:v>5419484</x:v>
      </x:c>
      <x:c r="C15" s="14" t="n">
        <x:f>'Province Ranking'!D5</x:f>
        <x:v>0.08237717438875979</x:v>
      </x:c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 t="str">
        <x:f>'Province Ranking'!B6</x:f>
        <x:v>นครราชสีมา</x:v>
      </x:c>
      <x:c r="B16" s="3" t="n">
        <x:f>'Province Ranking'!C6</x:f>
        <x:v>2612291</x:v>
      </x:c>
      <x:c r="C16" s="14" t="n">
        <x:f>'Province Ranking'!D6</x:f>
        <x:v>0.03970731369650463</x:v>
      </x:c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 t="str">
        <x:f>'Province Ranking'!B7</x:f>
        <x:v>อุบลราชธานี</x:v>
      </x:c>
      <x:c r="B17" s="3" t="n">
        <x:f>'Province Ranking'!C7</x:f>
        <x:v>1864728</x:v>
      </x:c>
      <x:c r="C17" s="14" t="n">
        <x:f>'Province Ranking'!D7</x:f>
        <x:v>0.028344215730428075</x:v>
      </x:c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 t="str">
        <x:f>'Province Ranking'!B8</x:f>
        <x:v>เชียงใหม่</x:v>
      </x:c>
      <x:c r="B18" s="3" t="n">
        <x:f>'Province Ranking'!C8</x:f>
        <x:v>1798166</x:v>
      </x:c>
      <x:c r="C18" s="14" t="n">
        <x:f>'Province Ranking'!D8</x:f>
        <x:v>0.027332460832422172</x:v>
      </x:c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 t="str">
        <x:f>'Province Ranking'!B9</x:f>
        <x:v>ขอนแก่น</x:v>
      </x:c>
      <x:c r="B19" s="3" t="n">
        <x:f>'Province Ranking'!C9</x:f>
        <x:v>1765112</x:v>
      </x:c>
      <x:c r="C19" s="14" t="n">
        <x:f>'Province Ranking'!D9</x:f>
        <x:v>0.026830033826041846</x:v>
      </x:c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 t="str">
        <x:f>'Province Ranking'!B10</x:f>
        <x:v>ชลบุรี</x:v>
      </x:c>
      <x:c r="B20" s="3" t="n">
        <x:f>'Province Ranking'!C10</x:f>
        <x:v>1646822</x:v>
      </x:c>
      <x:c r="C20" s="14" t="n">
        <x:f>'Province Ranking'!D10</x:f>
        <x:v>0.02503200361533426</x:v>
      </x:c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 t="str">
        <x:f>'Province Ranking'!B11</x:f>
        <x:v>บุรีรัมย์</x:v>
      </x:c>
      <x:c r="B21" s="3" t="n">
        <x:f>'Province Ranking'!C11</x:f>
        <x:v>1559404</x:v>
      </x:c>
      <x:c r="C21" s="14" t="n">
        <x:f>'Province Ranking'!D11</x:f>
        <x:v>0.02370323360130403</x:v>
      </x:c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 t="str">
        <x:f>'Province Ranking'!B12</x:f>
        <x:v>อุดรธานี</x:v>
      </x:c>
      <x:c r="B22" s="3" t="n">
        <x:f>'Province Ranking'!C12</x:f>
        <x:v>1546103</x:v>
      </x:c>
      <x:c r="C22" s="14" t="n">
        <x:f>'Province Ranking'!D12</x:f>
        <x:v>0.023501055903843368</x:v>
      </x:c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 t="str">
        <x:f>'Province Ranking'!B13</x:f>
        <x:v>นครศรีธรรมราช</x:v>
      </x:c>
      <x:c r="B23" s="3" t="n">
        <x:f>'Province Ranking'!C13</x:f>
        <x:v>1529894</x:v>
      </x:c>
      <x:c r="C23" s="14" t="n">
        <x:f>'Province Ranking'!D13</x:f>
        <x:v>0.02325467606036244</x:v>
      </x:c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 t="str">
        <x:f>'Province Ranking'!B14</x:f>
        <x:v>ศรีสะเกษ</x:v>
      </x:c>
      <x:c r="B24" s="3" t="n">
        <x:f>'Province Ranking'!C14</x:f>
        <x:v>1436213</x:v>
      </x:c>
      <x:c r="C24" s="14" t="n">
        <x:f>'Province Ranking'!D14</x:f>
        <x:v>0.02183070727036077</x:v>
      </x:c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30" customHeight="1">
      <x:c r="A34" s="10" t="str">
        <x:v>เพศ</x:v>
      </x:c>
      <x:c r="B34" s="10" t="str">
        <x:v>คน</x:v>
      </x:c>
      <x:c r="C34" s="10" t="str">
        <x:v>สัดส่วน</x:v>
      </x:c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 t="str">
        <x:v>ชาย</x:v>
      </x:c>
      <x:c r="B35" s="3" t="n">
        <x:f>B7</x:f>
        <x:v>32031832</x:v>
      </x:c>
      <x:c r="C35" s="14" t="n">
        <x:f>B35/$B$6</x:f>
        <x:v>0.4868898608530731</x:v>
      </x:c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 t="str">
        <x:v>หญิง</x:v>
      </x:c>
      <x:c r="B36" s="3" t="n">
        <x:f>B8</x:f>
        <x:v>33756829</x:v>
      </x:c>
      <x:c r="C36" s="14" t="n">
        <x:f>B36/$B$6</x:f>
        <x:v>0.5131101391469268</x:v>
      </x:c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30" customHeight="1">
      <x:c r="A42" s="10" t="str">
        <x:v>สัญชาติ</x:v>
      </x:c>
      <x:c r="B42" s="10" t="str">
        <x:v>คน</x:v>
      </x:c>
      <x:c r="C42" s="10" t="str">
        <x:v>สัดส่วน</x:v>
      </x:c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 t="str">
        <x:v>ไทย</x:v>
      </x:c>
      <x:c r="B43" s="3" t="n">
        <x:f>B9</x:f>
        <x:v>64801647</x:v>
      </x:c>
      <x:c r="C43" s="14" t="n">
        <x:f>B43/$B$6</x:f>
        <x:v>0.9849972018734353</x:v>
      </x:c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 t="str">
        <x:v>ไม่ใช่ไทย</x:v>
      </x:c>
      <x:c r="B44" s="3" t="n">
        <x:f>B10</x:f>
        <x:v>987014</x:v>
      </x:c>
      <x:c r="C44" s="14" t="n">
        <x:f>B44/$B$6</x:f>
        <x:v>0.015002798126564697</x:v>
      </x:c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12" t="str">
        <x:f>"กรุงเทพมหานครมีประชากรสูงสุด "&amp;TEXT(B15,"#,##0")&amp;" คน คิดเป็น "&amp;TEXT(C15,"0.00%")&amp;" ของทั้งประเทศ"</x:f>
        <x:v>กรุงเทพมหานครมีประชากรสูงสุด 5,419,484 คน คิดเป็น 8.24% ของทั้งประเทศ</x:v>
      </x:c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 ht="24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12" t="str">
        <x:f>"10 จังหวัดแรกมีประชากรรวม "&amp;TEXT(SUM(B15:B24),"#,##0")&amp;" คน ("&amp;TEXT(SUM(B15:B24)/B6,"0.00%")&amp;")"</x:f>
        <x:v>10 จังหวัดแรกมีประชากรรวม 21,178,217 คน (32.19%)</x:v>
      </x:c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 ht="24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30" customHeight="1">
      <x:c r="A57" s="12" t="str">
        <x:v>กราฟอันดับเลือก 10 จังหวัดเพื่อให้อ่านง่าย; รายละเอียดครบ 77 จังหวัดอยู่ใน Province Ranking</x:v>
      </x:c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 ht="3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30" customHeight="1">
      <x:c r="A61" s="10" t="str">
        <x:v>การตรวจยอดรวม</x:v>
      </x:c>
      <x:c r="B61" s="10" t="str">
        <x:v>คำนวณจากจังหวัด</x:v>
      </x:c>
      <x:c r="C61" s="10" t="str">
        <x:v>ต้นทาง Raw Data</x:v>
      </x:c>
      <x:c r="D61" s="10" t="str">
        <x:v>ผลต่าง (คน)</x:v>
      </x:c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 t="str">
        <x:v>ประชากรทั้งหมด</x:v>
      </x:c>
      <x:c r="B62" s="3" t="n">
        <x:f>B6</x:f>
        <x:v>65788661</x:v>
      </x:c>
      <x:c r="C62" s="3" t="n">
        <x:f>'Raw Data'!J5</x:f>
        <x:v>65788661</x:v>
      </x:c>
      <x:c r="D62" s="3" t="n">
        <x:f>B62-C62</x:f>
        <x:v>0</x:v>
      </x:c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 t="str">
        <x:v>ชาย + หญิง</x:v>
      </x:c>
      <x:c r="B63" s="3" t="n">
        <x:f>B7+B8</x:f>
        <x:v>65788661</x:v>
      </x:c>
      <x:c r="C63" s="3" t="n">
        <x:f>'Raw Data'!J5</x:f>
        <x:v>65788661</x:v>
      </x:c>
      <x:c r="D63" s="3" t="n">
        <x:f>B63-C63</x:f>
        <x:v>0</x:v>
      </x:c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 t="str">
        <x:v>ไทย + ไม่ใช่ไทย</x:v>
      </x:c>
      <x:c r="B64" s="3" t="n">
        <x:f>B9+B10</x:f>
        <x:v>65788661</x:v>
      </x:c>
      <x:c r="C64" s="3" t="n">
        <x:f>'Raw Data'!J5</x:f>
        <x:v>65788661</x:v>
      </x:c>
      <x:c r="D64" s="3" t="n">
        <x:f>B64-C64</x:f>
        <x:v>0</x:v>
      </x:c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30" customHeight="1">
      <x:c r="A67" s="12" t="str">
        <x:v>แนวทางกราฟอิงบท BI03 Data Presentation; Classroom ไม่ระบุจำนวนหรือชนิดกราฟเฉพาะ</x:v>
      </x:c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 ht="3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D5:L6"/>
    <x:mergeCell ref="D8:L9"/>
    <x:mergeCell ref="D10:L11"/>
    <x:mergeCell ref="A51:L52"/>
    <x:mergeCell ref="A54:L55"/>
    <x:mergeCell ref="A57:L58"/>
    <x:mergeCell ref="A67:L68"/>
  </x:mergeCells>
  <x:conditionalFormatting sqref="D62:D64">
    <x:cfRule type="cellIs" dxfId="0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a879b8d332aa446d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0" customHeight="1">
      <x:c r="A2" s="13" t="str">
        <x:v>อันดับประชากรรายจังหวัด</x:v>
      </x:c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30" customHeight="1">
      <x:c r="A4" s="10" t="str">
        <x:v>อันดับ</x:v>
      </x:c>
      <x:c r="B4" s="10" t="str">
        <x:v>จังหวัด</x:v>
      </x:c>
      <x:c r="C4" s="10" t="str">
        <x:v>ประชากร (คน)</x:v>
      </x:c>
      <x:c r="D4" s="10" t="str">
        <x:v>สัดส่วนทั้งประเทศ</x:v>
      </x:c>
      <x:c r="E4" s="10" t="str">
        <x:v>ชาย (คน)</x:v>
      </x:c>
      <x:c r="F4" s="10" t="str">
        <x:v>หญิง (คน)</x:v>
      </x:c>
    </x:row>
    <x:row r="5" ht="24" customHeight="1">
      <x:c r="A5" s="2" t="n">
        <x:v>1</x:v>
      </x:c>
      <x:c r="B5" s="2" t="str">
        <x:f>INDEX('Cleansed Data'!$A$2:$A$78,MATCH(A5,'Cleansed Data'!$K$2:$K$78,0))</x:f>
        <x:v>กรุงเทพมหานคร</x:v>
      </x:c>
      <x:c r="C5" s="3" t="n">
        <x:f>INDEX('Cleansed Data'!$J$2:$J$78,MATCH(A5,'Cleansed Data'!$K$2:$K$78,0))</x:f>
        <x:v>5419484</x:v>
      </x:c>
      <x:c r="D5" s="14" t="n">
        <x:f>C5/SUM('Cleansed Data'!$J$2:$J$78)</x:f>
        <x:v>0.08237717438875979</x:v>
      </x:c>
      <x:c r="E5" s="3" t="n">
        <x:f>INDEX('Cleansed Data'!$H$2:$H$78,MATCH(A5,'Cleansed Data'!$K$2:$K$78,0))</x:f>
        <x:v>2524330</x:v>
      </x:c>
      <x:c r="F5" s="3" t="n">
        <x:f>INDEX('Cleansed Data'!$I$2:$I$78,MATCH(A5,'Cleansed Data'!$K$2:$K$78,0))</x:f>
        <x:v>2895154</x:v>
      </x:c>
    </x:row>
    <x:row r="6" ht="24" customHeight="1">
      <x:c r="A6" s="2" t="n">
        <x:v>2</x:v>
      </x:c>
      <x:c r="B6" s="2" t="str">
        <x:f>INDEX('Cleansed Data'!$A$2:$A$78,MATCH(A6,'Cleansed Data'!$K$2:$K$78,0))</x:f>
        <x:v>นครราชสีมา</x:v>
      </x:c>
      <x:c r="C6" s="3" t="n">
        <x:f>INDEX('Cleansed Data'!$J$2:$J$78,MATCH(A6,'Cleansed Data'!$K$2:$K$78,0))</x:f>
        <x:v>2612291</x:v>
      </x:c>
      <x:c r="D6" s="14" t="n">
        <x:f>C6/SUM('Cleansed Data'!$J$2:$J$78)</x:f>
        <x:v>0.03970731369650463</x:v>
      </x:c>
      <x:c r="E6" s="3" t="n">
        <x:f>INDEX('Cleansed Data'!$H$2:$H$78,MATCH(A6,'Cleansed Data'!$K$2:$K$78,0))</x:f>
        <x:v>1277662</x:v>
      </x:c>
      <x:c r="F6" s="3" t="n">
        <x:f>INDEX('Cleansed Data'!$I$2:$I$78,MATCH(A6,'Cleansed Data'!$K$2:$K$78,0))</x:f>
        <x:v>1334629</x:v>
      </x:c>
    </x:row>
    <x:row r="7" ht="24" customHeight="1">
      <x:c r="A7" s="2" t="n">
        <x:v>3</x:v>
      </x:c>
      <x:c r="B7" s="2" t="str">
        <x:f>INDEX('Cleansed Data'!$A$2:$A$78,MATCH(A7,'Cleansed Data'!$K$2:$K$78,0))</x:f>
        <x:v>อุบลราชธานี</x:v>
      </x:c>
      <x:c r="C7" s="3" t="n">
        <x:f>INDEX('Cleansed Data'!$J$2:$J$78,MATCH(A7,'Cleansed Data'!$K$2:$K$78,0))</x:f>
        <x:v>1864728</x:v>
      </x:c>
      <x:c r="D7" s="14" t="n">
        <x:f>C7/SUM('Cleansed Data'!$J$2:$J$78)</x:f>
        <x:v>0.028344215730428075</x:v>
      </x:c>
      <x:c r="E7" s="3" t="n">
        <x:f>INDEX('Cleansed Data'!$H$2:$H$78,MATCH(A7,'Cleansed Data'!$K$2:$K$78,0))</x:f>
        <x:v>927222</x:v>
      </x:c>
      <x:c r="F7" s="3" t="n">
        <x:f>INDEX('Cleansed Data'!$I$2:$I$78,MATCH(A7,'Cleansed Data'!$K$2:$K$78,0))</x:f>
        <x:v>937506</x:v>
      </x:c>
    </x:row>
    <x:row r="8" ht="24" customHeight="1">
      <x:c r="A8" s="2" t="n">
        <x:v>4</x:v>
      </x:c>
      <x:c r="B8" s="2" t="str">
        <x:f>INDEX('Cleansed Data'!$A$2:$A$78,MATCH(A8,'Cleansed Data'!$K$2:$K$78,0))</x:f>
        <x:v>เชียงใหม่</x:v>
      </x:c>
      <x:c r="C8" s="3" t="n">
        <x:f>INDEX('Cleansed Data'!$J$2:$J$78,MATCH(A8,'Cleansed Data'!$K$2:$K$78,0))</x:f>
        <x:v>1798166</x:v>
      </x:c>
      <x:c r="D8" s="14" t="n">
        <x:f>C8/SUM('Cleansed Data'!$J$2:$J$78)</x:f>
        <x:v>0.027332460832422172</x:v>
      </x:c>
      <x:c r="E8" s="3" t="n">
        <x:f>INDEX('Cleansed Data'!$H$2:$H$78,MATCH(A8,'Cleansed Data'!$K$2:$K$78,0))</x:f>
        <x:v>863540</x:v>
      </x:c>
      <x:c r="F8" s="3" t="n">
        <x:f>INDEX('Cleansed Data'!$I$2:$I$78,MATCH(A8,'Cleansed Data'!$K$2:$K$78,0))</x:f>
        <x:v>934626</x:v>
      </x:c>
    </x:row>
    <x:row r="9" ht="24" customHeight="1">
      <x:c r="A9" s="2" t="n">
        <x:v>5</x:v>
      </x:c>
      <x:c r="B9" s="2" t="str">
        <x:f>INDEX('Cleansed Data'!$A$2:$A$78,MATCH(A9,'Cleansed Data'!$K$2:$K$78,0))</x:f>
        <x:v>ขอนแก่น</x:v>
      </x:c>
      <x:c r="C9" s="3" t="n">
        <x:f>INDEX('Cleansed Data'!$J$2:$J$78,MATCH(A9,'Cleansed Data'!$K$2:$K$78,0))</x:f>
        <x:v>1765112</x:v>
      </x:c>
      <x:c r="D9" s="14" t="n">
        <x:f>C9/SUM('Cleansed Data'!$J$2:$J$78)</x:f>
        <x:v>0.026830033826041846</x:v>
      </x:c>
      <x:c r="E9" s="3" t="n">
        <x:f>INDEX('Cleansed Data'!$H$2:$H$78,MATCH(A9,'Cleansed Data'!$K$2:$K$78,0))</x:f>
        <x:v>863297</x:v>
      </x:c>
      <x:c r="F9" s="3" t="n">
        <x:f>INDEX('Cleansed Data'!$I$2:$I$78,MATCH(A9,'Cleansed Data'!$K$2:$K$78,0))</x:f>
        <x:v>901815</x:v>
      </x:c>
    </x:row>
    <x:row r="10" ht="24" customHeight="1">
      <x:c r="A10" s="2" t="n">
        <x:v>6</x:v>
      </x:c>
      <x:c r="B10" s="2" t="str">
        <x:f>INDEX('Cleansed Data'!$A$2:$A$78,MATCH(A10,'Cleansed Data'!$K$2:$K$78,0))</x:f>
        <x:v>ชลบุรี</x:v>
      </x:c>
      <x:c r="C10" s="3" t="n">
        <x:f>INDEX('Cleansed Data'!$J$2:$J$78,MATCH(A10,'Cleansed Data'!$K$2:$K$78,0))</x:f>
        <x:v>1646822</x:v>
      </x:c>
      <x:c r="D10" s="14" t="n">
        <x:f>C10/SUM('Cleansed Data'!$J$2:$J$78)</x:f>
        <x:v>0.02503200361533426</x:v>
      </x:c>
      <x:c r="E10" s="3" t="n">
        <x:f>INDEX('Cleansed Data'!$H$2:$H$78,MATCH(A10,'Cleansed Data'!$K$2:$K$78,0))</x:f>
        <x:v>798752</x:v>
      </x:c>
      <x:c r="F10" s="3" t="n">
        <x:f>INDEX('Cleansed Data'!$I$2:$I$78,MATCH(A10,'Cleansed Data'!$K$2:$K$78,0))</x:f>
        <x:v>848070</x:v>
      </x:c>
    </x:row>
    <x:row r="11" ht="24" customHeight="1">
      <x:c r="A11" s="2" t="n">
        <x:v>7</x:v>
      </x:c>
      <x:c r="B11" s="2" t="str">
        <x:f>INDEX('Cleansed Data'!$A$2:$A$78,MATCH(A11,'Cleansed Data'!$K$2:$K$78,0))</x:f>
        <x:v>บุรีรัมย์</x:v>
      </x:c>
      <x:c r="C11" s="3" t="n">
        <x:f>INDEX('Cleansed Data'!$J$2:$J$78,MATCH(A11,'Cleansed Data'!$K$2:$K$78,0))</x:f>
        <x:v>1559404</x:v>
      </x:c>
      <x:c r="D11" s="14" t="n">
        <x:f>C11/SUM('Cleansed Data'!$J$2:$J$78)</x:f>
        <x:v>0.02370323360130403</x:v>
      </x:c>
      <x:c r="E11" s="3" t="n">
        <x:f>INDEX('Cleansed Data'!$H$2:$H$78,MATCH(A11,'Cleansed Data'!$K$2:$K$78,0))</x:f>
        <x:v>771093</x:v>
      </x:c>
      <x:c r="F11" s="3" t="n">
        <x:f>INDEX('Cleansed Data'!$I$2:$I$78,MATCH(A11,'Cleansed Data'!$K$2:$K$78,0))</x:f>
        <x:v>788311</x:v>
      </x:c>
    </x:row>
    <x:row r="12" ht="24" customHeight="1">
      <x:c r="A12" s="2" t="n">
        <x:v>8</x:v>
      </x:c>
      <x:c r="B12" s="2" t="str">
        <x:f>INDEX('Cleansed Data'!$A$2:$A$78,MATCH(A12,'Cleansed Data'!$K$2:$K$78,0))</x:f>
        <x:v>อุดรธานี</x:v>
      </x:c>
      <x:c r="C12" s="3" t="n">
        <x:f>INDEX('Cleansed Data'!$J$2:$J$78,MATCH(A12,'Cleansed Data'!$K$2:$K$78,0))</x:f>
        <x:v>1546103</x:v>
      </x:c>
      <x:c r="D12" s="14" t="n">
        <x:f>C12/SUM('Cleansed Data'!$J$2:$J$78)</x:f>
        <x:v>0.023501055903843368</x:v>
      </x:c>
      <x:c r="E12" s="3" t="n">
        <x:f>INDEX('Cleansed Data'!$H$2:$H$78,MATCH(A12,'Cleansed Data'!$K$2:$K$78,0))</x:f>
        <x:v>761771</x:v>
      </x:c>
      <x:c r="F12" s="3" t="n">
        <x:f>INDEX('Cleansed Data'!$I$2:$I$78,MATCH(A12,'Cleansed Data'!$K$2:$K$78,0))</x:f>
        <x:v>784332</x:v>
      </x:c>
    </x:row>
    <x:row r="13" ht="24" customHeight="1">
      <x:c r="A13" s="2" t="n">
        <x:v>9</x:v>
      </x:c>
      <x:c r="B13" s="2" t="str">
        <x:f>INDEX('Cleansed Data'!$A$2:$A$78,MATCH(A13,'Cleansed Data'!$K$2:$K$78,0))</x:f>
        <x:v>นครศรีธรรมราช</x:v>
      </x:c>
      <x:c r="C13" s="3" t="n">
        <x:f>INDEX('Cleansed Data'!$J$2:$J$78,MATCH(A13,'Cleansed Data'!$K$2:$K$78,0))</x:f>
        <x:v>1529894</x:v>
      </x:c>
      <x:c r="D13" s="14" t="n">
        <x:f>C13/SUM('Cleansed Data'!$J$2:$J$78)</x:f>
        <x:v>0.02325467606036244</x:v>
      </x:c>
      <x:c r="E13" s="3" t="n">
        <x:f>INDEX('Cleansed Data'!$H$2:$H$78,MATCH(A13,'Cleansed Data'!$K$2:$K$78,0))</x:f>
        <x:v>754624</x:v>
      </x:c>
      <x:c r="F13" s="3" t="n">
        <x:f>INDEX('Cleansed Data'!$I$2:$I$78,MATCH(A13,'Cleansed Data'!$K$2:$K$78,0))</x:f>
        <x:v>775270</x:v>
      </x:c>
    </x:row>
    <x:row r="14" ht="24" customHeight="1">
      <x:c r="A14" s="2" t="n">
        <x:v>10</x:v>
      </x:c>
      <x:c r="B14" s="2" t="str">
        <x:f>INDEX('Cleansed Data'!$A$2:$A$78,MATCH(A14,'Cleansed Data'!$K$2:$K$78,0))</x:f>
        <x:v>ศรีสะเกษ</x:v>
      </x:c>
      <x:c r="C14" s="3" t="n">
        <x:f>INDEX('Cleansed Data'!$J$2:$J$78,MATCH(A14,'Cleansed Data'!$K$2:$K$78,0))</x:f>
        <x:v>1436213</x:v>
      </x:c>
      <x:c r="D14" s="14" t="n">
        <x:f>C14/SUM('Cleansed Data'!$J$2:$J$78)</x:f>
        <x:v>0.02183070727036077</x:v>
      </x:c>
      <x:c r="E14" s="3" t="n">
        <x:f>INDEX('Cleansed Data'!$H$2:$H$78,MATCH(A14,'Cleansed Data'!$K$2:$K$78,0))</x:f>
        <x:v>713822</x:v>
      </x:c>
      <x:c r="F14" s="3" t="n">
        <x:f>INDEX('Cleansed Data'!$I$2:$I$78,MATCH(A14,'Cleansed Data'!$K$2:$K$78,0))</x:f>
        <x:v>722391</x:v>
      </x:c>
    </x:row>
    <x:row r="15" ht="24" customHeight="1">
      <x:c r="A15" s="2" t="n">
        <x:v>11</x:v>
      </x:c>
      <x:c r="B15" s="2" t="str">
        <x:f>INDEX('Cleansed Data'!$A$2:$A$78,MATCH(A15,'Cleansed Data'!$K$2:$K$78,0))</x:f>
        <x:v>สงขลา</x:v>
      </x:c>
      <x:c r="C15" s="3" t="n">
        <x:f>INDEX('Cleansed Data'!$J$2:$J$78,MATCH(A15,'Cleansed Data'!$K$2:$K$78,0))</x:f>
        <x:v>1428894</x:v>
      </x:c>
      <x:c r="D15" s="14" t="n">
        <x:f>C15/SUM('Cleansed Data'!$J$2:$J$78)</x:f>
        <x:v>0.021719457096109618</x:v>
      </x:c>
      <x:c r="E15" s="3" t="n">
        <x:f>INDEX('Cleansed Data'!$H$2:$H$78,MATCH(A15,'Cleansed Data'!$K$2:$K$78,0))</x:f>
        <x:v>693845</x:v>
      </x:c>
      <x:c r="F15" s="3" t="n">
        <x:f>INDEX('Cleansed Data'!$I$2:$I$78,MATCH(A15,'Cleansed Data'!$K$2:$K$78,0))</x:f>
        <x:v>735049</x:v>
      </x:c>
    </x:row>
    <x:row r="16" ht="24" customHeight="1">
      <x:c r="A16" s="2" t="n">
        <x:v>12</x:v>
      </x:c>
      <x:c r="B16" s="2" t="str">
        <x:f>INDEX('Cleansed Data'!$A$2:$A$78,MATCH(A16,'Cleansed Data'!$K$2:$K$78,0))</x:f>
        <x:v>สมุทรปราการ</x:v>
      </x:c>
      <x:c r="C16" s="3" t="n">
        <x:f>INDEX('Cleansed Data'!$J$2:$J$78,MATCH(A16,'Cleansed Data'!$K$2:$K$78,0))</x:f>
        <x:v>1384191</x:v>
      </x:c>
      <x:c r="D16" s="14" t="n">
        <x:f>C16/SUM('Cleansed Data'!$J$2:$J$78)</x:f>
        <x:v>0.021039963102456212</x:v>
      </x:c>
      <x:c r="E16" s="3" t="n">
        <x:f>INDEX('Cleansed Data'!$H$2:$H$78,MATCH(A16,'Cleansed Data'!$K$2:$K$78,0))</x:f>
        <x:v>654614</x:v>
      </x:c>
      <x:c r="F16" s="3" t="n">
        <x:f>INDEX('Cleansed Data'!$I$2:$I$78,MATCH(A16,'Cleansed Data'!$K$2:$K$78,0))</x:f>
        <x:v>729577</x:v>
      </x:c>
    </x:row>
    <x:row r="17" ht="24" customHeight="1">
      <x:c r="A17" s="2" t="n">
        <x:v>13</x:v>
      </x:c>
      <x:c r="B17" s="2" t="str">
        <x:f>INDEX('Cleansed Data'!$A$2:$A$78,MATCH(A17,'Cleansed Data'!$K$2:$K$78,0))</x:f>
        <x:v>สุรินทร์</x:v>
      </x:c>
      <x:c r="C17" s="3" t="n">
        <x:f>INDEX('Cleansed Data'!$J$2:$J$78,MATCH(A17,'Cleansed Data'!$K$2:$K$78,0))</x:f>
        <x:v>1353732</x:v>
      </x:c>
      <x:c r="D17" s="14" t="n">
        <x:f>C17/SUM('Cleansed Data'!$J$2:$J$78)</x:f>
        <x:v>0.02057698058332575</x:v>
      </x:c>
      <x:c r="E17" s="3" t="n">
        <x:f>INDEX('Cleansed Data'!$H$2:$H$78,MATCH(A17,'Cleansed Data'!$K$2:$K$78,0))</x:f>
        <x:v>671400</x:v>
      </x:c>
      <x:c r="F17" s="3" t="n">
        <x:f>INDEX('Cleansed Data'!$I$2:$I$78,MATCH(A17,'Cleansed Data'!$K$2:$K$78,0))</x:f>
        <x:v>682332</x:v>
      </x:c>
    </x:row>
    <x:row r="18" ht="24" customHeight="1">
      <x:c r="A18" s="2" t="n">
        <x:v>14</x:v>
      </x:c>
      <x:c r="B18" s="2" t="str">
        <x:f>INDEX('Cleansed Data'!$A$2:$A$78,MATCH(A18,'Cleansed Data'!$K$2:$K$78,0))</x:f>
        <x:v>นนทบุรี</x:v>
      </x:c>
      <x:c r="C18" s="3" t="n">
        <x:f>INDEX('Cleansed Data'!$J$2:$J$78,MATCH(A18,'Cleansed Data'!$K$2:$K$78,0))</x:f>
        <x:v>1322234</x:v>
      </x:c>
      <x:c r="D18" s="14" t="n">
        <x:f>C18/SUM('Cleansed Data'!$J$2:$J$78)</x:f>
        <x:v>0.020098205069107578</x:v>
      </x:c>
      <x:c r="E18" s="3" t="n">
        <x:f>INDEX('Cleansed Data'!$H$2:$H$78,MATCH(A18,'Cleansed Data'!$K$2:$K$78,0))</x:f>
        <x:v>610924</x:v>
      </x:c>
      <x:c r="F18" s="3" t="n">
        <x:f>INDEX('Cleansed Data'!$I$2:$I$78,MATCH(A18,'Cleansed Data'!$K$2:$K$78,0))</x:f>
        <x:v>711310</x:v>
      </x:c>
    </x:row>
    <x:row r="19" ht="24" customHeight="1">
      <x:c r="A19" s="2" t="n">
        <x:v>15</x:v>
      </x:c>
      <x:c r="B19" s="2" t="str">
        <x:f>INDEX('Cleansed Data'!$A$2:$A$78,MATCH(A19,'Cleansed Data'!$K$2:$K$78,0))</x:f>
        <x:v>เชียงราย</x:v>
      </x:c>
      <x:c r="C19" s="3" t="n">
        <x:f>INDEX('Cleansed Data'!$J$2:$J$78,MATCH(A19,'Cleansed Data'!$K$2:$K$78,0))</x:f>
        <x:v>1295538</x:v>
      </x:c>
      <x:c r="D19" s="14" t="n">
        <x:f>C19/SUM('Cleansed Data'!$J$2:$J$78)</x:f>
        <x:v>0.019692420856536358</x:v>
      </x:c>
      <x:c r="E19" s="3" t="n">
        <x:f>INDEX('Cleansed Data'!$H$2:$H$78,MATCH(A19,'Cleansed Data'!$K$2:$K$78,0))</x:f>
        <x:v>627144</x:v>
      </x:c>
      <x:c r="F19" s="3" t="n">
        <x:f>INDEX('Cleansed Data'!$I$2:$I$78,MATCH(A19,'Cleansed Data'!$K$2:$K$78,0))</x:f>
        <x:v>668394</x:v>
      </x:c>
    </x:row>
    <x:row r="20" ht="24" customHeight="1">
      <x:c r="A20" s="2" t="n">
        <x:v>16</x:v>
      </x:c>
      <x:c r="B20" s="2" t="str">
        <x:f>INDEX('Cleansed Data'!$A$2:$A$78,MATCH(A20,'Cleansed Data'!$K$2:$K$78,0))</x:f>
        <x:v>ร้อยเอ็ด</x:v>
      </x:c>
      <x:c r="C20" s="3" t="n">
        <x:f>INDEX('Cleansed Data'!$J$2:$J$78,MATCH(A20,'Cleansed Data'!$K$2:$K$78,0))</x:f>
        <x:v>1268633</x:v>
      </x:c>
      <x:c r="D20" s="14" t="n">
        <x:f>C20/SUM('Cleansed Data'!$J$2:$J$78)</x:f>
        <x:v>0.019283459804722274</x:v>
      </x:c>
      <x:c r="E20" s="3" t="n">
        <x:f>INDEX('Cleansed Data'!$H$2:$H$78,MATCH(A20,'Cleansed Data'!$K$2:$K$78,0))</x:f>
        <x:v>625536</x:v>
      </x:c>
      <x:c r="F20" s="3" t="n">
        <x:f>INDEX('Cleansed Data'!$I$2:$I$78,MATCH(A20,'Cleansed Data'!$K$2:$K$78,0))</x:f>
        <x:v>643097</x:v>
      </x:c>
    </x:row>
    <x:row r="21" ht="24" customHeight="1">
      <x:c r="A21" s="2" t="n">
        <x:v>17</x:v>
      </x:c>
      <x:c r="B21" s="2" t="str">
        <x:f>INDEX('Cleansed Data'!$A$2:$A$78,MATCH(A21,'Cleansed Data'!$K$2:$K$78,0))</x:f>
        <x:v>ปทุมธานี</x:v>
      </x:c>
      <x:c r="C21" s="3" t="n">
        <x:f>INDEX('Cleansed Data'!$J$2:$J$78,MATCH(A21,'Cleansed Data'!$K$2:$K$78,0))</x:f>
        <x:v>1246615</x:v>
      </x:c>
      <x:c r="D21" s="14" t="n">
        <x:f>C21/SUM('Cleansed Data'!$J$2:$J$78)</x:f>
        <x:v>0.01894878207051516</x:v>
      </x:c>
      <x:c r="E21" s="3" t="n">
        <x:f>INDEX('Cleansed Data'!$H$2:$H$78,MATCH(A21,'Cleansed Data'!$K$2:$K$78,0))</x:f>
        <x:v>587784</x:v>
      </x:c>
      <x:c r="F21" s="3" t="n">
        <x:f>INDEX('Cleansed Data'!$I$2:$I$78,MATCH(A21,'Cleansed Data'!$K$2:$K$78,0))</x:f>
        <x:v>658831</x:v>
      </x:c>
    </x:row>
    <x:row r="22" ht="24" customHeight="1">
      <x:c r="A22" s="2" t="n">
        <x:v>18</x:v>
      </x:c>
      <x:c r="B22" s="2" t="str">
        <x:f>INDEX('Cleansed Data'!$A$2:$A$78,MATCH(A22,'Cleansed Data'!$K$2:$K$78,0))</x:f>
        <x:v>สกลนคร</x:v>
      </x:c>
      <x:c r="C22" s="3" t="n">
        <x:f>INDEX('Cleansed Data'!$J$2:$J$78,MATCH(A22,'Cleansed Data'!$K$2:$K$78,0))</x:f>
        <x:v>1133572</x:v>
      </x:c>
      <x:c r="D22" s="14" t="n">
        <x:f>C22/SUM('Cleansed Data'!$J$2:$J$78)</x:f>
        <x:v>0.017230507245009897</x:v>
      </x:c>
      <x:c r="E22" s="3" t="n">
        <x:f>INDEX('Cleansed Data'!$H$2:$H$78,MATCH(A22,'Cleansed Data'!$K$2:$K$78,0))</x:f>
        <x:v>561418</x:v>
      </x:c>
      <x:c r="F22" s="3" t="n">
        <x:f>INDEX('Cleansed Data'!$I$2:$I$78,MATCH(A22,'Cleansed Data'!$K$2:$K$78,0))</x:f>
        <x:v>572154</x:v>
      </x:c>
    </x:row>
    <x:row r="23" ht="24" customHeight="1">
      <x:c r="A23" s="2" t="n">
        <x:v>19</x:v>
      </x:c>
      <x:c r="B23" s="2" t="str">
        <x:f>INDEX('Cleansed Data'!$A$2:$A$78,MATCH(A23,'Cleansed Data'!$K$2:$K$78,0))</x:f>
        <x:v>ชัยภูมิ</x:v>
      </x:c>
      <x:c r="C23" s="3" t="n">
        <x:f>INDEX('Cleansed Data'!$J$2:$J$78,MATCH(A23,'Cleansed Data'!$K$2:$K$78,0))</x:f>
        <x:v>1099980</x:v>
      </x:c>
      <x:c r="D23" s="14" t="n">
        <x:f>C23/SUM('Cleansed Data'!$J$2:$J$78)</x:f>
        <x:v>0.016719902537612068</x:v>
      </x:c>
      <x:c r="E23" s="3" t="n">
        <x:f>INDEX('Cleansed Data'!$H$2:$H$78,MATCH(A23,'Cleansed Data'!$K$2:$K$78,0))</x:f>
        <x:v>541136</x:v>
      </x:c>
      <x:c r="F23" s="3" t="n">
        <x:f>INDEX('Cleansed Data'!$I$2:$I$78,MATCH(A23,'Cleansed Data'!$K$2:$K$78,0))</x:f>
        <x:v>558844</x:v>
      </x:c>
    </x:row>
    <x:row r="24" ht="24" customHeight="1">
      <x:c r="A24" s="2" t="n">
        <x:v>20</x:v>
      </x:c>
      <x:c r="B24" s="2" t="str">
        <x:f>INDEX('Cleansed Data'!$A$2:$A$78,MATCH(A24,'Cleansed Data'!$K$2:$K$78,0))</x:f>
        <x:v>สุราษฎร์ธานี</x:v>
      </x:c>
      <x:c r="C24" s="3" t="n">
        <x:f>INDEX('Cleansed Data'!$J$2:$J$78,MATCH(A24,'Cleansed Data'!$K$2:$K$78,0))</x:f>
        <x:v>1075910</x:v>
      </x:c>
      <x:c r="D24" s="14" t="n">
        <x:f>C24/SUM('Cleansed Data'!$J$2:$J$78)</x:f>
        <x:v>0.01635403401811142</x:v>
      </x:c>
      <x:c r="E24" s="3" t="n">
        <x:f>INDEX('Cleansed Data'!$H$2:$H$78,MATCH(A24,'Cleansed Data'!$K$2:$K$78,0))</x:f>
        <x:v>528743</x:v>
      </x:c>
      <x:c r="F24" s="3" t="n">
        <x:f>INDEX('Cleansed Data'!$I$2:$I$78,MATCH(A24,'Cleansed Data'!$K$2:$K$78,0))</x:f>
        <x:v>547167</x:v>
      </x:c>
    </x:row>
    <x:row r="25" ht="24" customHeight="1">
      <x:c r="A25" s="2" t="n">
        <x:v>21</x:v>
      </x:c>
      <x:c r="B25" s="2" t="str">
        <x:f>INDEX('Cleansed Data'!$A$2:$A$78,MATCH(A25,'Cleansed Data'!$K$2:$K$78,0))</x:f>
        <x:v>นครสวรรค์</x:v>
      </x:c>
      <x:c r="C25" s="3" t="n">
        <x:f>INDEX('Cleansed Data'!$J$2:$J$78,MATCH(A25,'Cleansed Data'!$K$2:$K$78,0))</x:f>
        <x:v>1007716</x:v>
      </x:c>
      <x:c r="D25" s="14" t="n">
        <x:f>C25/SUM('Cleansed Data'!$J$2:$J$78)</x:f>
        <x:v>0.015317472413673231</x:v>
      </x:c>
      <x:c r="E25" s="3" t="n">
        <x:f>INDEX('Cleansed Data'!$H$2:$H$78,MATCH(A25,'Cleansed Data'!$K$2:$K$78,0))</x:f>
        <x:v>489483</x:v>
      </x:c>
      <x:c r="F25" s="3" t="n">
        <x:f>INDEX('Cleansed Data'!$I$2:$I$78,MATCH(A25,'Cleansed Data'!$K$2:$K$78,0))</x:f>
        <x:v>518233</x:v>
      </x:c>
    </x:row>
    <x:row r="26" ht="24" customHeight="1">
      <x:c r="A26" s="2" t="n">
        <x:v>22</x:v>
      </x:c>
      <x:c r="B26" s="2" t="str">
        <x:f>INDEX('Cleansed Data'!$A$2:$A$78,MATCH(A26,'Cleansed Data'!$K$2:$K$78,0))</x:f>
        <x:v>กาฬสินธุ์</x:v>
      </x:c>
      <x:c r="C26" s="3" t="n">
        <x:f>INDEX('Cleansed Data'!$J$2:$J$78,MATCH(A26,'Cleansed Data'!$K$2:$K$78,0))</x:f>
        <x:v>956952</x:v>
      </x:c>
      <x:c r="D26" s="14" t="n">
        <x:f>C26/SUM('Cleansed Data'!$J$2:$J$78)</x:f>
        <x:v>0.014545850081976893</x:v>
      </x:c>
      <x:c r="E26" s="3" t="n">
        <x:f>INDEX('Cleansed Data'!$H$2:$H$78,MATCH(A26,'Cleansed Data'!$K$2:$K$78,0))</x:f>
        <x:v>471217</x:v>
      </x:c>
      <x:c r="F26" s="3" t="n">
        <x:f>INDEX('Cleansed Data'!$I$2:$I$78,MATCH(A26,'Cleansed Data'!$K$2:$K$78,0))</x:f>
        <x:v>485735</x:v>
      </x:c>
    </x:row>
    <x:row r="27" ht="24" customHeight="1">
      <x:c r="A27" s="2" t="n">
        <x:v>23</x:v>
      </x:c>
      <x:c r="B27" s="2" t="str">
        <x:f>INDEX('Cleansed Data'!$A$2:$A$78,MATCH(A27,'Cleansed Data'!$K$2:$K$78,0))</x:f>
        <x:v>เพชรบูรณ์</x:v>
      </x:c>
      <x:c r="C27" s="3" t="n">
        <x:f>INDEX('Cleansed Data'!$J$2:$J$78,MATCH(A27,'Cleansed Data'!$K$2:$K$78,0))</x:f>
        <x:v>953739</x:v>
      </x:c>
      <x:c r="D27" s="14" t="n">
        <x:f>C27/SUM('Cleansed Data'!$J$2:$J$78)</x:f>
        <x:v>0.014497011878688335</x:v>
      </x:c>
      <x:c r="E27" s="3" t="n">
        <x:f>INDEX('Cleansed Data'!$H$2:$H$78,MATCH(A27,'Cleansed Data'!$K$2:$K$78,0))</x:f>
        <x:v>468109</x:v>
      </x:c>
      <x:c r="F27" s="3" t="n">
        <x:f>INDEX('Cleansed Data'!$I$2:$I$78,MATCH(A27,'Cleansed Data'!$K$2:$K$78,0))</x:f>
        <x:v>485630</x:v>
      </x:c>
    </x:row>
    <x:row r="28" ht="24" customHeight="1">
      <x:c r="A28" s="2" t="n">
        <x:v>24</x:v>
      </x:c>
      <x:c r="B28" s="2" t="str">
        <x:f>INDEX('Cleansed Data'!$A$2:$A$78,MATCH(A28,'Cleansed Data'!$K$2:$K$78,0))</x:f>
        <x:v>นครปฐม</x:v>
      </x:c>
      <x:c r="C28" s="3" t="n">
        <x:f>INDEX('Cleansed Data'!$J$2:$J$78,MATCH(A28,'Cleansed Data'!$K$2:$K$78,0))</x:f>
        <x:v>926244</x:v>
      </x:c>
      <x:c r="D28" s="14" t="n">
        <x:f>C28/SUM('Cleansed Data'!$J$2:$J$78)</x:f>
        <x:v>0.014079082716092975</x:v>
      </x:c>
      <x:c r="E28" s="3" t="n">
        <x:f>INDEX('Cleansed Data'!$H$2:$H$78,MATCH(A28,'Cleansed Data'!$K$2:$K$78,0))</x:f>
        <x:v>443501</x:v>
      </x:c>
      <x:c r="F28" s="3" t="n">
        <x:f>INDEX('Cleansed Data'!$I$2:$I$78,MATCH(A28,'Cleansed Data'!$K$2:$K$78,0))</x:f>
        <x:v>482743</x:v>
      </x:c>
    </x:row>
    <x:row r="29" ht="24" customHeight="1">
      <x:c r="A29" s="2" t="n">
        <x:v>25</x:v>
      </x:c>
      <x:c r="B29" s="2" t="str">
        <x:f>INDEX('Cleansed Data'!$A$2:$A$78,MATCH(A29,'Cleansed Data'!$K$2:$K$78,0))</x:f>
        <x:v>มหาสารคาม</x:v>
      </x:c>
      <x:c r="C29" s="3" t="n">
        <x:f>INDEX('Cleansed Data'!$J$2:$J$78,MATCH(A29,'Cleansed Data'!$K$2:$K$78,0))</x:f>
        <x:v>923529</x:v>
      </x:c>
      <x:c r="D29" s="14" t="n">
        <x:f>C29/SUM('Cleansed Data'!$J$2:$J$78)</x:f>
        <x:v>0.014037814206311328</x:v>
      </x:c>
      <x:c r="E29" s="3" t="n">
        <x:f>INDEX('Cleansed Data'!$H$2:$H$78,MATCH(A29,'Cleansed Data'!$K$2:$K$78,0))</x:f>
        <x:v>452763</x:v>
      </x:c>
      <x:c r="F29" s="3" t="n">
        <x:f>INDEX('Cleansed Data'!$I$2:$I$78,MATCH(A29,'Cleansed Data'!$K$2:$K$78,0))</x:f>
        <x:v>470766</x:v>
      </x:c>
    </x:row>
    <x:row r="30" ht="24" customHeight="1">
      <x:c r="A30" s="2" t="n">
        <x:v>26</x:v>
      </x:c>
      <x:c r="B30" s="2" t="str">
        <x:f>INDEX('Cleansed Data'!$A$2:$A$78,MATCH(A30,'Cleansed Data'!$K$2:$K$78,0))</x:f>
        <x:v>กาญจนบุรี</x:v>
      </x:c>
      <x:c r="C30" s="3" t="n">
        <x:f>INDEX('Cleansed Data'!$J$2:$J$78,MATCH(A30,'Cleansed Data'!$K$2:$K$78,0))</x:f>
        <x:v>896656</x:v>
      </x:c>
      <x:c r="D30" s="14" t="n">
        <x:f>C30/SUM('Cleansed Data'!$J$2:$J$78)</x:f>
        <x:v>0.013629339560505722</x:v>
      </x:c>
      <x:c r="E30" s="3" t="n">
        <x:f>INDEX('Cleansed Data'!$H$2:$H$78,MATCH(A30,'Cleansed Data'!$K$2:$K$78,0))</x:f>
        <x:v>447278</x:v>
      </x:c>
      <x:c r="F30" s="3" t="n">
        <x:f>INDEX('Cleansed Data'!$I$2:$I$78,MATCH(A30,'Cleansed Data'!$K$2:$K$78,0))</x:f>
        <x:v>449378</x:v>
      </x:c>
    </x:row>
    <x:row r="31" ht="24" customHeight="1">
      <x:c r="A31" s="2" t="n">
        <x:v>27</x:v>
      </x:c>
      <x:c r="B31" s="2" t="str">
        <x:f>INDEX('Cleansed Data'!$A$2:$A$78,MATCH(A31,'Cleansed Data'!$K$2:$K$78,0))</x:f>
        <x:v>ราชบุรี</x:v>
      </x:c>
      <x:c r="C31" s="3" t="n">
        <x:f>INDEX('Cleansed Data'!$J$2:$J$78,MATCH(A31,'Cleansed Data'!$K$2:$K$78,0))</x:f>
        <x:v>861540</x:v>
      </x:c>
      <x:c r="D31" s="14" t="n">
        <x:f>C31/SUM('Cleansed Data'!$J$2:$J$78)</x:f>
        <x:v>0.013095569766954217</x:v>
      </x:c>
      <x:c r="E31" s="3" t="n">
        <x:f>INDEX('Cleansed Data'!$H$2:$H$78,MATCH(A31,'Cleansed Data'!$K$2:$K$78,0))</x:f>
        <x:v>417368</x:v>
      </x:c>
      <x:c r="F31" s="3" t="n">
        <x:f>INDEX('Cleansed Data'!$I$2:$I$78,MATCH(A31,'Cleansed Data'!$K$2:$K$78,0))</x:f>
        <x:v>444172</x:v>
      </x:c>
    </x:row>
    <x:row r="32" ht="24" customHeight="1">
      <x:c r="A32" s="2" t="n">
        <x:v>28</x:v>
      </x:c>
      <x:c r="B32" s="2" t="str">
        <x:f>INDEX('Cleansed Data'!$A$2:$A$78,MATCH(A32,'Cleansed Data'!$K$2:$K$78,0))</x:f>
        <x:v>พิษณุโลก</x:v>
      </x:c>
      <x:c r="C32" s="3" t="n">
        <x:f>INDEX('Cleansed Data'!$J$2:$J$78,MATCH(A32,'Cleansed Data'!$K$2:$K$78,0))</x:f>
        <x:v>835107</x:v>
      </x:c>
      <x:c r="D32" s="14" t="n">
        <x:f>C32/SUM('Cleansed Data'!$J$2:$J$78)</x:f>
        <x:v>0.01269378320376516</x:v>
      </x:c>
      <x:c r="E32" s="3" t="n">
        <x:f>INDEX('Cleansed Data'!$H$2:$H$78,MATCH(A32,'Cleansed Data'!$K$2:$K$78,0))</x:f>
        <x:v>406930</x:v>
      </x:c>
      <x:c r="F32" s="3" t="n">
        <x:f>INDEX('Cleansed Data'!$I$2:$I$78,MATCH(A32,'Cleansed Data'!$K$2:$K$78,0))</x:f>
        <x:v>428177</x:v>
      </x:c>
    </x:row>
    <x:row r="33" ht="24" customHeight="1">
      <x:c r="A33" s="2" t="n">
        <x:v>29</x:v>
      </x:c>
      <x:c r="B33" s="2" t="str">
        <x:f>INDEX('Cleansed Data'!$A$2:$A$78,MATCH(A33,'Cleansed Data'!$K$2:$K$78,0))</x:f>
        <x:v>นราธิวาส</x:v>
      </x:c>
      <x:c r="C33" s="3" t="n">
        <x:f>INDEX('Cleansed Data'!$J$2:$J$78,MATCH(A33,'Cleansed Data'!$K$2:$K$78,0))</x:f>
        <x:v>828559</x:v>
      </x:c>
      <x:c r="D33" s="14" t="n">
        <x:f>C33/SUM('Cleansed Data'!$J$2:$J$78)</x:f>
        <x:v>0.012594252374280728</x:v>
      </x:c>
      <x:c r="E33" s="3" t="n">
        <x:f>INDEX('Cleansed Data'!$H$2:$H$78,MATCH(A33,'Cleansed Data'!$K$2:$K$78,0))</x:f>
        <x:v>409829</x:v>
      </x:c>
      <x:c r="F33" s="3" t="n">
        <x:f>INDEX('Cleansed Data'!$I$2:$I$78,MATCH(A33,'Cleansed Data'!$K$2:$K$78,0))</x:f>
        <x:v>418730</x:v>
      </x:c>
    </x:row>
    <x:row r="34" ht="24" customHeight="1">
      <x:c r="A34" s="2" t="n">
        <x:v>30</x:v>
      </x:c>
      <x:c r="B34" s="2" t="str">
        <x:f>INDEX('Cleansed Data'!$A$2:$A$78,MATCH(A34,'Cleansed Data'!$K$2:$K$78,0))</x:f>
        <x:v>พระนครศรีอยุธยา</x:v>
      </x:c>
      <x:c r="C34" s="3" t="n">
        <x:f>INDEX('Cleansed Data'!$J$2:$J$78,MATCH(A34,'Cleansed Data'!$K$2:$K$78,0))</x:f>
        <x:v>822505</x:v>
      </x:c>
      <x:c r="D34" s="14" t="n">
        <x:f>C34/SUM('Cleansed Data'!$J$2:$J$78)</x:f>
        <x:v>0.012502230437552149</x:v>
      </x:c>
      <x:c r="E34" s="3" t="n">
        <x:f>INDEX('Cleansed Data'!$H$2:$H$78,MATCH(A34,'Cleansed Data'!$K$2:$K$78,0))</x:f>
        <x:v>393865</x:v>
      </x:c>
      <x:c r="F34" s="3" t="n">
        <x:f>INDEX('Cleansed Data'!$I$2:$I$78,MATCH(A34,'Cleansed Data'!$K$2:$K$78,0))</x:f>
        <x:v>428640</x:v>
      </x:c>
    </x:row>
    <x:row r="35" ht="24" customHeight="1">
      <x:c r="A35" s="2" t="n">
        <x:v>31</x:v>
      </x:c>
      <x:c r="B35" s="2" t="str">
        <x:f>INDEX('Cleansed Data'!$A$2:$A$78,MATCH(A35,'Cleansed Data'!$K$2:$K$78,0))</x:f>
        <x:v>สุพรรณบุรี</x:v>
      </x:c>
      <x:c r="C35" s="3" t="n">
        <x:f>INDEX('Cleansed Data'!$J$2:$J$78,MATCH(A35,'Cleansed Data'!$K$2:$K$78,0))</x:f>
        <x:v>817437</x:v>
      </x:c>
      <x:c r="D35" s="14" t="n">
        <x:f>C35/SUM('Cleansed Data'!$J$2:$J$78)</x:f>
        <x:v>0.01242519588595974</x:v>
      </x:c>
      <x:c r="E35" s="3" t="n">
        <x:f>INDEX('Cleansed Data'!$H$2:$H$78,MATCH(A35,'Cleansed Data'!$K$2:$K$78,0))</x:f>
        <x:v>393011</x:v>
      </x:c>
      <x:c r="F35" s="3" t="n">
        <x:f>INDEX('Cleansed Data'!$I$2:$I$78,MATCH(A35,'Cleansed Data'!$K$2:$K$78,0))</x:f>
        <x:v>424426</x:v>
      </x:c>
    </x:row>
    <x:row r="36" ht="24" customHeight="1">
      <x:c r="A36" s="2" t="n">
        <x:v>32</x:v>
      </x:c>
      <x:c r="B36" s="2" t="str">
        <x:f>INDEX('Cleansed Data'!$A$2:$A$78,MATCH(A36,'Cleansed Data'!$K$2:$K$78,0))</x:f>
        <x:v>ระยอง</x:v>
      </x:c>
      <x:c r="C36" s="3" t="n">
        <x:f>INDEX('Cleansed Data'!$J$2:$J$78,MATCH(A36,'Cleansed Data'!$K$2:$K$78,0))</x:f>
        <x:v>790432</x:v>
      </x:c>
      <x:c r="D36" s="14" t="n">
        <x:f>C36/SUM('Cleansed Data'!$J$2:$J$78)</x:f>
        <x:v>0.01201471481536917</x:v>
      </x:c>
      <x:c r="E36" s="3" t="n">
        <x:f>INDEX('Cleansed Data'!$H$2:$H$78,MATCH(A36,'Cleansed Data'!$K$2:$K$78,0))</x:f>
        <x:v>386553</x:v>
      </x:c>
      <x:c r="F36" s="3" t="n">
        <x:f>INDEX('Cleansed Data'!$I$2:$I$78,MATCH(A36,'Cleansed Data'!$K$2:$K$78,0))</x:f>
        <x:v>403879</x:v>
      </x:c>
    </x:row>
    <x:row r="37" ht="24" customHeight="1">
      <x:c r="A37" s="2" t="n">
        <x:v>33</x:v>
      </x:c>
      <x:c r="B37" s="2" t="str">
        <x:f>INDEX('Cleansed Data'!$A$2:$A$78,MATCH(A37,'Cleansed Data'!$K$2:$K$78,0))</x:f>
        <x:v>ปัตตานี</x:v>
      </x:c>
      <x:c r="C37" s="3" t="n">
        <x:f>INDEX('Cleansed Data'!$J$2:$J$78,MATCH(A37,'Cleansed Data'!$K$2:$K$78,0))</x:f>
        <x:v>745422</x:v>
      </x:c>
      <x:c r="D37" s="14" t="n">
        <x:f>C37/SUM('Cleansed Data'!$J$2:$J$78)</x:f>
        <x:v>0.01133055436407195</x:v>
      </x:c>
      <x:c r="E37" s="3" t="n">
        <x:f>INDEX('Cleansed Data'!$H$2:$H$78,MATCH(A37,'Cleansed Data'!$K$2:$K$78,0))</x:f>
        <x:v>368756</x:v>
      </x:c>
      <x:c r="F37" s="3" t="n">
        <x:f>INDEX('Cleansed Data'!$I$2:$I$78,MATCH(A37,'Cleansed Data'!$K$2:$K$78,0))</x:f>
        <x:v>376666</x:v>
      </x:c>
    </x:row>
    <x:row r="38" ht="24" customHeight="1">
      <x:c r="A38" s="2" t="n">
        <x:v>34</x:v>
      </x:c>
      <x:c r="B38" s="2" t="str">
        <x:f>INDEX('Cleansed Data'!$A$2:$A$78,MATCH(A38,'Cleansed Data'!$K$2:$K$78,0))</x:f>
        <x:v>ฉะเชิงเทรา</x:v>
      </x:c>
      <x:c r="C38" s="3" t="n">
        <x:f>INDEX('Cleansed Data'!$J$2:$J$78,MATCH(A38,'Cleansed Data'!$K$2:$K$78,0))</x:f>
        <x:v>733427</x:v>
      </x:c>
      <x:c r="D38" s="14" t="n">
        <x:f>C38/SUM('Cleansed Data'!$J$2:$J$78)</x:f>
        <x:v>0.01114822811183222</x:v>
      </x:c>
      <x:c r="E38" s="3" t="n">
        <x:f>INDEX('Cleansed Data'!$H$2:$H$78,MATCH(A38,'Cleansed Data'!$K$2:$K$78,0))</x:f>
        <x:v>358437</x:v>
      </x:c>
      <x:c r="F38" s="3" t="n">
        <x:f>INDEX('Cleansed Data'!$I$2:$I$78,MATCH(A38,'Cleansed Data'!$K$2:$K$78,0))</x:f>
        <x:v>374990</x:v>
      </x:c>
    </x:row>
    <x:row r="39" ht="24" customHeight="1">
      <x:c r="A39" s="2" t="n">
        <x:v>35</x:v>
      </x:c>
      <x:c r="B39" s="2" t="str">
        <x:f>INDEX('Cleansed Data'!$A$2:$A$78,MATCH(A39,'Cleansed Data'!$K$2:$K$78,0))</x:f>
        <x:v>ลพบุรี</x:v>
      </x:c>
      <x:c r="C39" s="3" t="n">
        <x:f>INDEX('Cleansed Data'!$J$2:$J$78,MATCH(A39,'Cleansed Data'!$K$2:$K$78,0))</x:f>
        <x:v>720905</x:v>
      </x:c>
      <x:c r="D39" s="14" t="n">
        <x:f>C39/SUM('Cleansed Data'!$J$2:$J$78)</x:f>
        <x:v>0.0109578913606404</x:v>
      </x:c>
      <x:c r="E39" s="3" t="n">
        <x:f>INDEX('Cleansed Data'!$H$2:$H$78,MATCH(A39,'Cleansed Data'!$K$2:$K$78,0))</x:f>
        <x:v>357408</x:v>
      </x:c>
      <x:c r="F39" s="3" t="n">
        <x:f>INDEX('Cleansed Data'!$I$2:$I$78,MATCH(A39,'Cleansed Data'!$K$2:$K$78,0))</x:f>
        <x:v>363497</x:v>
      </x:c>
    </x:row>
    <x:row r="40" ht="24" customHeight="1">
      <x:c r="A40" s="2" t="n">
        <x:v>36</x:v>
      </x:c>
      <x:c r="B40" s="2" t="str">
        <x:f>INDEX('Cleansed Data'!$A$2:$A$78,MATCH(A40,'Cleansed Data'!$K$2:$K$78,0))</x:f>
        <x:v>นครพนม</x:v>
      </x:c>
      <x:c r="C40" s="3" t="n">
        <x:f>INDEX('Cleansed Data'!$J$2:$J$78,MATCH(A40,'Cleansed Data'!$K$2:$K$78,0))</x:f>
        <x:v>707911</x:v>
      </x:c>
      <x:c r="D40" s="14" t="n">
        <x:f>C40/SUM('Cleansed Data'!$J$2:$J$78)</x:f>
        <x:v>0.010760380120823556</x:v>
      </x:c>
      <x:c r="E40" s="3" t="n">
        <x:f>INDEX('Cleansed Data'!$H$2:$H$78,MATCH(A40,'Cleansed Data'!$K$2:$K$78,0))</x:f>
        <x:v>351978</x:v>
      </x:c>
      <x:c r="F40" s="3" t="n">
        <x:f>INDEX('Cleansed Data'!$I$2:$I$78,MATCH(A40,'Cleansed Data'!$K$2:$K$78,0))</x:f>
        <x:v>355933</x:v>
      </x:c>
    </x:row>
    <x:row r="41" ht="24" customHeight="1">
      <x:c r="A41" s="2" t="n">
        <x:v>37</x:v>
      </x:c>
      <x:c r="B41" s="2" t="str">
        <x:f>INDEX('Cleansed Data'!$A$2:$A$78,MATCH(A41,'Cleansed Data'!$K$2:$K$78,0))</x:f>
        <x:v>ตาก</x:v>
      </x:c>
      <x:c r="C41" s="3" t="n">
        <x:f>INDEX('Cleansed Data'!$J$2:$J$78,MATCH(A41,'Cleansed Data'!$K$2:$K$78,0))</x:f>
        <x:v>704864</x:v>
      </x:c>
      <x:c r="D41" s="14" t="n">
        <x:f>C41/SUM('Cleansed Data'!$J$2:$J$78)</x:f>
        <x:v>0.01071406514870397</x:v>
      </x:c>
      <x:c r="E41" s="3" t="n">
        <x:f>INDEX('Cleansed Data'!$H$2:$H$78,MATCH(A41,'Cleansed Data'!$K$2:$K$78,0))</x:f>
        <x:v>356014</x:v>
      </x:c>
      <x:c r="F41" s="3" t="n">
        <x:f>INDEX('Cleansed Data'!$I$2:$I$78,MATCH(A41,'Cleansed Data'!$K$2:$K$78,0))</x:f>
        <x:v>348850</x:v>
      </x:c>
    </x:row>
    <x:row r="42" ht="24" customHeight="1">
      <x:c r="A42" s="2" t="n">
        <x:v>38</x:v>
      </x:c>
      <x:c r="B42" s="2" t="str">
        <x:f>INDEX('Cleansed Data'!$A$2:$A$78,MATCH(A42,'Cleansed Data'!$K$2:$K$78,0))</x:f>
        <x:v>ลำปาง</x:v>
      </x:c>
      <x:c r="C42" s="3" t="n">
        <x:f>INDEX('Cleansed Data'!$J$2:$J$78,MATCH(A42,'Cleansed Data'!$K$2:$K$78,0))</x:f>
        <x:v>696992</x:v>
      </x:c>
      <x:c r="D42" s="14" t="n">
        <x:f>C42/SUM('Cleansed Data'!$J$2:$J$78)</x:f>
        <x:v>0.010594409270618839</x:v>
      </x:c>
      <x:c r="E42" s="3" t="n">
        <x:f>INDEX('Cleansed Data'!$H$2:$H$78,MATCH(A42,'Cleansed Data'!$K$2:$K$78,0))</x:f>
        <x:v>337568</x:v>
      </x:c>
      <x:c r="F42" s="3" t="n">
        <x:f>INDEX('Cleansed Data'!$I$2:$I$78,MATCH(A42,'Cleansed Data'!$K$2:$K$78,0))</x:f>
        <x:v>359424</x:v>
      </x:c>
    </x:row>
    <x:row r="43" ht="24" customHeight="1">
      <x:c r="A43" s="2" t="n">
        <x:v>39</x:v>
      </x:c>
      <x:c r="B43" s="2" t="str">
        <x:f>INDEX('Cleansed Data'!$A$2:$A$78,MATCH(A43,'Cleansed Data'!$K$2:$K$78,0))</x:f>
        <x:v>กำแพงเพชร</x:v>
      </x:c>
      <x:c r="C43" s="3" t="n">
        <x:f>INDEX('Cleansed Data'!$J$2:$J$78,MATCH(A43,'Cleansed Data'!$K$2:$K$78,0))</x:f>
        <x:v>696611</x:v>
      </x:c>
      <x:c r="D43" s="14" t="n">
        <x:f>C43/SUM('Cleansed Data'!$J$2:$J$78)</x:f>
        <x:v>0.010588617999080419</x:v>
      </x:c>
      <x:c r="E43" s="3" t="n">
        <x:f>INDEX('Cleansed Data'!$H$2:$H$78,MATCH(A43,'Cleansed Data'!$K$2:$K$78,0))</x:f>
        <x:v>342736</x:v>
      </x:c>
      <x:c r="F43" s="3" t="n">
        <x:f>INDEX('Cleansed Data'!$I$2:$I$78,MATCH(A43,'Cleansed Data'!$K$2:$K$78,0))</x:f>
        <x:v>353875</x:v>
      </x:c>
    </x:row>
    <x:row r="44" ht="24" customHeight="1">
      <x:c r="A44" s="2" t="n">
        <x:v>40</x:v>
      </x:c>
      <x:c r="B44" s="2" t="str">
        <x:f>INDEX('Cleansed Data'!$A$2:$A$78,MATCH(A44,'Cleansed Data'!$K$2:$K$78,0))</x:f>
        <x:v>สระบุรี</x:v>
      </x:c>
      <x:c r="C44" s="3" t="n">
        <x:f>INDEX('Cleansed Data'!$J$2:$J$78,MATCH(A44,'Cleansed Data'!$K$2:$K$78,0))</x:f>
        <x:v>638547</x:v>
      </x:c>
      <x:c r="D44" s="14" t="n">
        <x:f>C44/SUM('Cleansed Data'!$J$2:$J$78)</x:f>
        <x:v>0.00970603429670046</x:v>
      </x:c>
      <x:c r="E44" s="3" t="n">
        <x:f>INDEX('Cleansed Data'!$H$2:$H$78,MATCH(A44,'Cleansed Data'!$K$2:$K$78,0))</x:f>
        <x:v>312993</x:v>
      </x:c>
      <x:c r="F44" s="3" t="n">
        <x:f>INDEX('Cleansed Data'!$I$2:$I$78,MATCH(A44,'Cleansed Data'!$K$2:$K$78,0))</x:f>
        <x:v>325554</x:v>
      </x:c>
    </x:row>
    <x:row r="45" ht="24" customHeight="1">
      <x:c r="A45" s="2" t="n">
        <x:v>41</x:v>
      </x:c>
      <x:c r="B45" s="2" t="str">
        <x:f>INDEX('Cleansed Data'!$A$2:$A$78,MATCH(A45,'Cleansed Data'!$K$2:$K$78,0))</x:f>
        <x:v>ตรัง</x:v>
      </x:c>
      <x:c r="C45" s="3" t="n">
        <x:f>INDEX('Cleansed Data'!$J$2:$J$78,MATCH(A45,'Cleansed Data'!$K$2:$K$78,0))</x:f>
        <x:v>633196</x:v>
      </x:c>
      <x:c r="D45" s="14" t="n">
        <x:f>C45/SUM('Cleansed Data'!$J$2:$J$78)</x:f>
        <x:v>0.00962469809197059</x:v>
      </x:c>
      <x:c r="E45" s="3" t="n">
        <x:f>INDEX('Cleansed Data'!$H$2:$H$78,MATCH(A45,'Cleansed Data'!$K$2:$K$78,0))</x:f>
        <x:v>309042</x:v>
      </x:c>
      <x:c r="F45" s="3" t="n">
        <x:f>INDEX('Cleansed Data'!$I$2:$I$78,MATCH(A45,'Cleansed Data'!$K$2:$K$78,0))</x:f>
        <x:v>324154</x:v>
      </x:c>
    </x:row>
    <x:row r="46" ht="24" customHeight="1">
      <x:c r="A46" s="2" t="n">
        <x:v>42</x:v>
      </x:c>
      <x:c r="B46" s="2" t="str">
        <x:f>INDEX('Cleansed Data'!$A$2:$A$78,MATCH(A46,'Cleansed Data'!$K$2:$K$78,0))</x:f>
        <x:v>เลย</x:v>
      </x:c>
      <x:c r="C46" s="3" t="n">
        <x:f>INDEX('Cleansed Data'!$J$2:$J$78,MATCH(A46,'Cleansed Data'!$K$2:$K$78,0))</x:f>
        <x:v>629054</x:v>
      </x:c>
      <x:c r="D46" s="14" t="n">
        <x:f>C46/SUM('Cleansed Data'!$J$2:$J$78)</x:f>
        <x:v>0.00956173891424846</x:v>
      </x:c>
      <x:c r="E46" s="3" t="n">
        <x:f>INDEX('Cleansed Data'!$H$2:$H$78,MATCH(A46,'Cleansed Data'!$K$2:$K$78,0))</x:f>
        <x:v>313892</x:v>
      </x:c>
      <x:c r="F46" s="3" t="n">
        <x:f>INDEX('Cleansed Data'!$I$2:$I$78,MATCH(A46,'Cleansed Data'!$K$2:$K$78,0))</x:f>
        <x:v>315162</x:v>
      </x:c>
    </x:row>
    <x:row r="47" ht="24" customHeight="1">
      <x:c r="A47" s="2" t="n">
        <x:v>43</x:v>
      </x:c>
      <x:c r="B47" s="2" t="str">
        <x:f>INDEX('Cleansed Data'!$A$2:$A$78,MATCH(A47,'Cleansed Data'!$K$2:$K$78,0))</x:f>
        <x:v>สมุทรสาคร</x:v>
      </x:c>
      <x:c r="C47" s="3" t="n">
        <x:f>INDEX('Cleansed Data'!$J$2:$J$78,MATCH(A47,'Cleansed Data'!$K$2:$K$78,0))</x:f>
        <x:v>586919</x:v>
      </x:c>
      <x:c r="D47" s="14" t="n">
        <x:f>C47/SUM('Cleansed Data'!$J$2:$J$78)</x:f>
        <x:v>0.008921279002775265</x:v>
      </x:c>
      <x:c r="E47" s="3" t="n">
        <x:f>INDEX('Cleansed Data'!$H$2:$H$78,MATCH(A47,'Cleansed Data'!$K$2:$K$78,0))</x:f>
        <x:v>281048</x:v>
      </x:c>
      <x:c r="F47" s="3" t="n">
        <x:f>INDEX('Cleansed Data'!$I$2:$I$78,MATCH(A47,'Cleansed Data'!$K$2:$K$78,0))</x:f>
        <x:v>305871</x:v>
      </x:c>
    </x:row>
    <x:row r="48" ht="24" customHeight="1">
      <x:c r="A48" s="2" t="n">
        <x:v>44</x:v>
      </x:c>
      <x:c r="B48" s="2" t="str">
        <x:f>INDEX('Cleansed Data'!$A$2:$A$78,MATCH(A48,'Cleansed Data'!$K$2:$K$78,0))</x:f>
        <x:v>สุโขทัย</x:v>
      </x:c>
      <x:c r="C48" s="3" t="n">
        <x:f>INDEX('Cleansed Data'!$J$2:$J$78,MATCH(A48,'Cleansed Data'!$K$2:$K$78,0))</x:f>
        <x:v>568878</x:v>
      </x:c>
      <x:c r="D48" s="14" t="n">
        <x:f>C48/SUM('Cleansed Data'!$J$2:$J$78)</x:f>
        <x:v>0.008647052415309076</x:v>
      </x:c>
      <x:c r="E48" s="3" t="n">
        <x:f>INDEX('Cleansed Data'!$H$2:$H$78,MATCH(A48,'Cleansed Data'!$K$2:$K$78,0))</x:f>
        <x:v>274718</x:v>
      </x:c>
      <x:c r="F48" s="3" t="n">
        <x:f>INDEX('Cleansed Data'!$I$2:$I$78,MATCH(A48,'Cleansed Data'!$K$2:$K$78,0))</x:f>
        <x:v>294160</x:v>
      </x:c>
    </x:row>
    <x:row r="49" ht="24" customHeight="1">
      <x:c r="A49" s="2" t="n">
        <x:v>45</x:v>
      </x:c>
      <x:c r="B49" s="2" t="str">
        <x:f>INDEX('Cleansed Data'!$A$2:$A$78,MATCH(A49,'Cleansed Data'!$K$2:$K$78,0))</x:f>
        <x:v>สระแก้ว</x:v>
      </x:c>
      <x:c r="C49" s="3" t="n">
        <x:f>INDEX('Cleansed Data'!$J$2:$J$78,MATCH(A49,'Cleansed Data'!$K$2:$K$78,0))</x:f>
        <x:v>560673</x:v>
      </x:c>
      <x:c r="D49" s="14" t="n">
        <x:f>C49/SUM('Cleansed Data'!$J$2:$J$78)</x:f>
        <x:v>0.00852233487469824</x:v>
      </x:c>
      <x:c r="E49" s="3" t="n">
        <x:f>INDEX('Cleansed Data'!$H$2:$H$78,MATCH(A49,'Cleansed Data'!$K$2:$K$78,0))</x:f>
        <x:v>279521</x:v>
      </x:c>
      <x:c r="F49" s="3" t="n">
        <x:f>INDEX('Cleansed Data'!$I$2:$I$78,MATCH(A49,'Cleansed Data'!$K$2:$K$78,0))</x:f>
        <x:v>281152</x:v>
      </x:c>
    </x:row>
    <x:row r="50" ht="24" customHeight="1">
      <x:c r="A50" s="2" t="n">
        <x:v>46</x:v>
      </x:c>
      <x:c r="B50" s="2" t="str">
        <x:f>INDEX('Cleansed Data'!$A$2:$A$78,MATCH(A50,'Cleansed Data'!$K$2:$K$78,0))</x:f>
        <x:v>ยะลา</x:v>
      </x:c>
      <x:c r="C50" s="3" t="n">
        <x:f>INDEX('Cleansed Data'!$J$2:$J$78,MATCH(A50,'Cleansed Data'!$K$2:$K$78,0))</x:f>
        <x:v>556309</x:v>
      </x:c>
      <x:c r="D50" s="14" t="n">
        <x:f>C50/SUM('Cleansed Data'!$J$2:$J$78)</x:f>
        <x:v>0.008456001255292306</x:v>
      </x:c>
      <x:c r="E50" s="3" t="n">
        <x:f>INDEX('Cleansed Data'!$H$2:$H$78,MATCH(A50,'Cleansed Data'!$K$2:$K$78,0))</x:f>
        <x:v>276564</x:v>
      </x:c>
      <x:c r="F50" s="3" t="n">
        <x:f>INDEX('Cleansed Data'!$I$2:$I$78,MATCH(A50,'Cleansed Data'!$K$2:$K$78,0))</x:f>
        <x:v>279745</x:v>
      </x:c>
    </x:row>
    <x:row r="51" ht="24" customHeight="1">
      <x:c r="A51" s="2" t="n">
        <x:v>47</x:v>
      </x:c>
      <x:c r="B51" s="2" t="str">
        <x:f>INDEX('Cleansed Data'!$A$2:$A$78,MATCH(A51,'Cleansed Data'!$K$2:$K$78,0))</x:f>
        <x:v>ประจวบคีรีขันธ์</x:v>
      </x:c>
      <x:c r="C51" s="3" t="n">
        <x:f>INDEX('Cleansed Data'!$J$2:$J$78,MATCH(A51,'Cleansed Data'!$K$2:$K$78,0))</x:f>
        <x:v>551494</x:v>
      </x:c>
      <x:c r="D51" s="14" t="n">
        <x:f>C51/SUM('Cleansed Data'!$J$2:$J$78)</x:f>
        <x:v>0.008382812351204413</x:v>
      </x:c>
      <x:c r="E51" s="3" t="n">
        <x:f>INDEX('Cleansed Data'!$H$2:$H$78,MATCH(A51,'Cleansed Data'!$K$2:$K$78,0))</x:f>
        <x:v>269405</x:v>
      </x:c>
      <x:c r="F51" s="3" t="n">
        <x:f>INDEX('Cleansed Data'!$I$2:$I$78,MATCH(A51,'Cleansed Data'!$K$2:$K$78,0))</x:f>
        <x:v>282089</x:v>
      </x:c>
    </x:row>
    <x:row r="52" ht="24" customHeight="1">
      <x:c r="A52" s="2" t="n">
        <x:v>48</x:v>
      </x:c>
      <x:c r="B52" s="2" t="str">
        <x:f>INDEX('Cleansed Data'!$A$2:$A$78,MATCH(A52,'Cleansed Data'!$K$2:$K$78,0))</x:f>
        <x:v>จันทบุรี</x:v>
      </x:c>
      <x:c r="C52" s="3" t="n">
        <x:f>INDEX('Cleansed Data'!$J$2:$J$78,MATCH(A52,'Cleansed Data'!$K$2:$K$78,0))</x:f>
        <x:v>535332</x:v>
      </x:c>
      <x:c r="D52" s="14" t="n">
        <x:f>C52/SUM('Cleansed Data'!$J$2:$J$78)</x:f>
        <x:v>0.00813714691654843</x:v>
      </x:c>
      <x:c r="E52" s="3" t="n">
        <x:f>INDEX('Cleansed Data'!$H$2:$H$78,MATCH(A52,'Cleansed Data'!$K$2:$K$78,0))</x:f>
        <x:v>260897</x:v>
      </x:c>
      <x:c r="F52" s="3" t="n">
        <x:f>INDEX('Cleansed Data'!$I$2:$I$78,MATCH(A52,'Cleansed Data'!$K$2:$K$78,0))</x:f>
        <x:v>274435</x:v>
      </x:c>
    </x:row>
    <x:row r="53" ht="24" customHeight="1">
      <x:c r="A53" s="2" t="n">
        <x:v>49</x:v>
      </x:c>
      <x:c r="B53" s="2" t="str">
        <x:f>INDEX('Cleansed Data'!$A$2:$A$78,MATCH(A53,'Cleansed Data'!$K$2:$K$78,0))</x:f>
        <x:v>ยโสธร</x:v>
      </x:c>
      <x:c r="C53" s="3" t="n">
        <x:f>INDEX('Cleansed Data'!$J$2:$J$78,MATCH(A53,'Cleansed Data'!$K$2:$K$78,0))</x:f>
        <x:v>522582</x:v>
      </x:c>
      <x:c r="D53" s="14" t="n">
        <x:f>C53/SUM('Cleansed Data'!$J$2:$J$78)</x:f>
        <x:v>0.007943344522546218</x:v>
      </x:c>
      <x:c r="E53" s="3" t="n">
        <x:f>INDEX('Cleansed Data'!$H$2:$H$78,MATCH(A53,'Cleansed Data'!$K$2:$K$78,0))</x:f>
        <x:v>259549</x:v>
      </x:c>
      <x:c r="F53" s="3" t="n">
        <x:f>INDEX('Cleansed Data'!$I$2:$I$78,MATCH(A53,'Cleansed Data'!$K$2:$K$78,0))</x:f>
        <x:v>263033</x:v>
      </x:c>
    </x:row>
    <x:row r="54" ht="24" customHeight="1">
      <x:c r="A54" s="2" t="n">
        <x:v>50</x:v>
      </x:c>
      <x:c r="B54" s="2" t="str">
        <x:f>INDEX('Cleansed Data'!$A$2:$A$78,MATCH(A54,'Cleansed Data'!$K$2:$K$78,0))</x:f>
        <x:v>พัทลุง</x:v>
      </x:c>
      <x:c r="C54" s="3" t="n">
        <x:f>INDEX('Cleansed Data'!$J$2:$J$78,MATCH(A54,'Cleansed Data'!$K$2:$K$78,0))</x:f>
        <x:v>517886</x:v>
      </x:c>
      <x:c r="D54" s="14" t="n">
        <x:f>C54/SUM('Cleansed Data'!$J$2:$J$78)</x:f>
        <x:v>0.007871964440802345</x:v>
      </x:c>
      <x:c r="E54" s="3" t="n">
        <x:f>INDEX('Cleansed Data'!$H$2:$H$78,MATCH(A54,'Cleansed Data'!$K$2:$K$78,0))</x:f>
        <x:v>251570</x:v>
      </x:c>
      <x:c r="F54" s="3" t="n">
        <x:f>INDEX('Cleansed Data'!$I$2:$I$78,MATCH(A54,'Cleansed Data'!$K$2:$K$78,0))</x:f>
        <x:v>266316</x:v>
      </x:c>
    </x:row>
    <x:row r="55" ht="24" customHeight="1">
      <x:c r="A55" s="2" t="n">
        <x:v>51</x:v>
      </x:c>
      <x:c r="B55" s="2" t="str">
        <x:f>INDEX('Cleansed Data'!$A$2:$A$78,MATCH(A55,'Cleansed Data'!$K$2:$K$78,0))</x:f>
        <x:v>พิจิตร</x:v>
      </x:c>
      <x:c r="C55" s="3" t="n">
        <x:f>INDEX('Cleansed Data'!$J$2:$J$78,MATCH(A55,'Cleansed Data'!$K$2:$K$78,0))</x:f>
        <x:v>512754</x:v>
      </x:c>
      <x:c r="D55" s="14" t="n">
        <x:f>C55/SUM('Cleansed Data'!$J$2:$J$78)</x:f>
        <x:v>0.007793957077192984</x:v>
      </x:c>
      <x:c r="E55" s="3" t="n">
        <x:f>INDEX('Cleansed Data'!$H$2:$H$78,MATCH(A55,'Cleansed Data'!$K$2:$K$78,0))</x:f>
        <x:v>249332</x:v>
      </x:c>
      <x:c r="F55" s="3" t="n">
        <x:f>INDEX('Cleansed Data'!$I$2:$I$78,MATCH(A55,'Cleansed Data'!$K$2:$K$78,0))</x:f>
        <x:v>263422</x:v>
      </x:c>
    </x:row>
    <x:row r="56" ht="24" customHeight="1">
      <x:c r="A56" s="2" t="n">
        <x:v>52</x:v>
      </x:c>
      <x:c r="B56" s="2" t="str">
        <x:f>INDEX('Cleansed Data'!$A$2:$A$78,MATCH(A56,'Cleansed Data'!$K$2:$K$78,0))</x:f>
        <x:v>หนองคาย</x:v>
      </x:c>
      <x:c r="C56" s="3" t="n">
        <x:f>INDEX('Cleansed Data'!$J$2:$J$78,MATCH(A56,'Cleansed Data'!$K$2:$K$78,0))</x:f>
        <x:v>510049</x:v>
      </x:c>
      <x:c r="D56" s="14" t="n">
        <x:f>C56/SUM('Cleansed Data'!$J$2:$J$78)</x:f>
        <x:v>0.0077528405692889844</x:v>
      </x:c>
      <x:c r="E56" s="3" t="n">
        <x:f>INDEX('Cleansed Data'!$H$2:$H$78,MATCH(A56,'Cleansed Data'!$K$2:$K$78,0))</x:f>
        <x:v>251944</x:v>
      </x:c>
      <x:c r="F56" s="3" t="n">
        <x:f>INDEX('Cleansed Data'!$I$2:$I$78,MATCH(A56,'Cleansed Data'!$K$2:$K$78,0))</x:f>
        <x:v>258105</x:v>
      </x:c>
    </x:row>
    <x:row r="57" ht="24" customHeight="1">
      <x:c r="A57" s="2" t="n">
        <x:v>53</x:v>
      </x:c>
      <x:c r="B57" s="2" t="str">
        <x:f>INDEX('Cleansed Data'!$A$2:$A$78,MATCH(A57,'Cleansed Data'!$K$2:$K$78,0))</x:f>
        <x:v>ชุมพร</x:v>
      </x:c>
      <x:c r="C57" s="3" t="n">
        <x:f>INDEX('Cleansed Data'!$J$2:$J$78,MATCH(A57,'Cleansed Data'!$K$2:$K$78,0))</x:f>
        <x:v>506689</x:v>
      </x:c>
      <x:c r="D57" s="14" t="n">
        <x:f>C57/SUM('Cleansed Data'!$J$2:$J$78)</x:f>
        <x:v>0.00770176793839899</x:v>
      </x:c>
      <x:c r="E57" s="3" t="n">
        <x:f>INDEX('Cleansed Data'!$H$2:$H$78,MATCH(A57,'Cleansed Data'!$K$2:$K$78,0))</x:f>
        <x:v>249398</x:v>
      </x:c>
      <x:c r="F57" s="3" t="n">
        <x:f>INDEX('Cleansed Data'!$I$2:$I$78,MATCH(A57,'Cleansed Data'!$K$2:$K$78,0))</x:f>
        <x:v>257291</x:v>
      </x:c>
    </x:row>
    <x:row r="58" ht="24" customHeight="1">
      <x:c r="A58" s="2" t="n">
        <x:v>54</x:v>
      </x:c>
      <x:c r="B58" s="2" t="str">
        <x:f>INDEX('Cleansed Data'!$A$2:$A$78,MATCH(A58,'Cleansed Data'!$K$2:$K$78,0))</x:f>
        <x:v>ปราจีนบุรี</x:v>
      </x:c>
      <x:c r="C58" s="3" t="n">
        <x:f>INDEX('Cleansed Data'!$J$2:$J$78,MATCH(A58,'Cleansed Data'!$K$2:$K$78,0))</x:f>
        <x:v>502161</x:v>
      </x:c>
      <x:c r="D58" s="14" t="n">
        <x:f>C58/SUM('Cleansed Data'!$J$2:$J$78)</x:f>
        <x:v>0.007632941488199615</x:v>
      </x:c>
      <x:c r="E58" s="3" t="n">
        <x:f>INDEX('Cleansed Data'!$H$2:$H$78,MATCH(A58,'Cleansed Data'!$K$2:$K$78,0))</x:f>
        <x:v>247687</x:v>
      </x:c>
      <x:c r="F58" s="3" t="n">
        <x:f>INDEX('Cleansed Data'!$I$2:$I$78,MATCH(A58,'Cleansed Data'!$K$2:$K$78,0))</x:f>
        <x:v>254474</x:v>
      </x:c>
    </x:row>
    <x:row r="59" ht="24" customHeight="1">
      <x:c r="A59" s="2" t="n">
        <x:v>55</x:v>
      </x:c>
      <x:c r="B59" s="2" t="str">
        <x:f>INDEX('Cleansed Data'!$A$2:$A$78,MATCH(A59,'Cleansed Data'!$K$2:$K$78,0))</x:f>
        <x:v>หนองบัวลำภู</x:v>
      </x:c>
      <x:c r="C59" s="3" t="n">
        <x:f>INDEX('Cleansed Data'!$J$2:$J$78,MATCH(A59,'Cleansed Data'!$K$2:$K$78,0))</x:f>
        <x:v>501891</x:v>
      </x:c>
      <x:c r="D59" s="14" t="n">
        <x:f>C59/SUM('Cleansed Data'!$J$2:$J$78)</x:f>
        <x:v>0.007628837437503098</x:v>
      </x:c>
      <x:c r="E59" s="3" t="n">
        <x:f>INDEX('Cleansed Data'!$H$2:$H$78,MATCH(A59,'Cleansed Data'!$K$2:$K$78,0))</x:f>
        <x:v>249271</x:v>
      </x:c>
      <x:c r="F59" s="3" t="n">
        <x:f>INDEX('Cleansed Data'!$I$2:$I$78,MATCH(A59,'Cleansed Data'!$K$2:$K$78,0))</x:f>
        <x:v>252620</x:v>
      </x:c>
    </x:row>
    <x:row r="60" ht="24" customHeight="1">
      <x:c r="A60" s="2" t="n">
        <x:v>56</x:v>
      </x:c>
      <x:c r="B60" s="2" t="str">
        <x:f>INDEX('Cleansed Data'!$A$2:$A$78,MATCH(A60,'Cleansed Data'!$K$2:$K$78,0))</x:f>
        <x:v>กระบี่</x:v>
      </x:c>
      <x:c r="C60" s="3" t="n">
        <x:f>INDEX('Cleansed Data'!$J$2:$J$78,MATCH(A60,'Cleansed Data'!$K$2:$K$78,0))</x:f>
        <x:v>484906</x:v>
      </x:c>
      <x:c r="D60" s="14" t="n">
        <x:f>C60/SUM('Cleansed Data'!$J$2:$J$78)</x:f>
        <x:v>0.007370662248316621</x:v>
      </x:c>
      <x:c r="E60" s="3" t="n">
        <x:f>INDEX('Cleansed Data'!$H$2:$H$78,MATCH(A60,'Cleansed Data'!$K$2:$K$78,0))</x:f>
        <x:v>240793</x:v>
      </x:c>
      <x:c r="F60" s="3" t="n">
        <x:f>INDEX('Cleansed Data'!$I$2:$I$78,MATCH(A60,'Cleansed Data'!$K$2:$K$78,0))</x:f>
        <x:v>244113</x:v>
      </x:c>
    </x:row>
    <x:row r="61" ht="24" customHeight="1">
      <x:c r="A61" s="2" t="n">
        <x:v>57</x:v>
      </x:c>
      <x:c r="B61" s="2" t="str">
        <x:f>INDEX('Cleansed Data'!$A$2:$A$78,MATCH(A61,'Cleansed Data'!$K$2:$K$78,0))</x:f>
        <x:v>เพชรบุรี</x:v>
      </x:c>
      <x:c r="C61" s="3" t="n">
        <x:f>INDEX('Cleansed Data'!$J$2:$J$78,MATCH(A61,'Cleansed Data'!$K$2:$K$78,0))</x:f>
        <x:v>484012</x:v>
      </x:c>
      <x:c r="D61" s="14" t="n">
        <x:f>C61/SUM('Cleansed Data'!$J$2:$J$78)</x:f>
        <x:v>0.007357073280454819</x:v>
      </x:c>
      <x:c r="E61" s="3" t="n">
        <x:f>INDEX('Cleansed Data'!$H$2:$H$78,MATCH(A61,'Cleansed Data'!$K$2:$K$78,0))</x:f>
        <x:v>232831</x:v>
      </x:c>
      <x:c r="F61" s="3" t="n">
        <x:f>INDEX('Cleansed Data'!$I$2:$I$78,MATCH(A61,'Cleansed Data'!$K$2:$K$78,0))</x:f>
        <x:v>251181</x:v>
      </x:c>
    </x:row>
    <x:row r="62" ht="24" customHeight="1">
      <x:c r="A62" s="2" t="n">
        <x:v>58</x:v>
      </x:c>
      <x:c r="B62" s="2" t="str">
        <x:f>INDEX('Cleansed Data'!$A$2:$A$78,MATCH(A62,'Cleansed Data'!$K$2:$K$78,0))</x:f>
        <x:v>น่าน</x:v>
      </x:c>
      <x:c r="C62" s="3" t="n">
        <x:f>INDEX('Cleansed Data'!$J$2:$J$78,MATCH(A62,'Cleansed Data'!$K$2:$K$78,0))</x:f>
        <x:v>468127</x:v>
      </x:c>
      <x:c r="D62" s="14" t="n">
        <x:f>C62/SUM('Cleansed Data'!$J$2:$J$78)</x:f>
        <x:v>0.007115618297809709</x:v>
      </x:c>
      <x:c r="E62" s="3" t="n">
        <x:f>INDEX('Cleansed Data'!$H$2:$H$78,MATCH(A62,'Cleansed Data'!$K$2:$K$78,0))</x:f>
        <x:v>233121</x:v>
      </x:c>
      <x:c r="F62" s="3" t="n">
        <x:f>INDEX('Cleansed Data'!$I$2:$I$78,MATCH(A62,'Cleansed Data'!$K$2:$K$78,0))</x:f>
        <x:v>235006</x:v>
      </x:c>
    </x:row>
    <x:row r="63" ht="24" customHeight="1">
      <x:c r="A63" s="2" t="n">
        <x:v>59</x:v>
      </x:c>
      <x:c r="B63" s="2" t="str">
        <x:f>INDEX('Cleansed Data'!$A$2:$A$78,MATCH(A63,'Cleansed Data'!$K$2:$K$78,0))</x:f>
        <x:v>พะเยา</x:v>
      </x:c>
      <x:c r="C63" s="3" t="n">
        <x:f>INDEX('Cleansed Data'!$J$2:$J$78,MATCH(A63,'Cleansed Data'!$K$2:$K$78,0))</x:f>
        <x:v>451673</x:v>
      </x:c>
      <x:c r="D63" s="14" t="n">
        <x:f>C63/SUM('Cleansed Data'!$J$2:$J$78)</x:f>
        <x:v>0.006865514408326383</x:v>
      </x:c>
      <x:c r="E63" s="3" t="n">
        <x:f>INDEX('Cleansed Data'!$H$2:$H$78,MATCH(A63,'Cleansed Data'!$K$2:$K$78,0))</x:f>
        <x:v>218545</x:v>
      </x:c>
      <x:c r="F63" s="3" t="n">
        <x:f>INDEX('Cleansed Data'!$I$2:$I$78,MATCH(A63,'Cleansed Data'!$K$2:$K$78,0))</x:f>
        <x:v>233128</x:v>
      </x:c>
    </x:row>
    <x:row r="64" ht="24" customHeight="1">
      <x:c r="A64" s="2" t="n">
        <x:v>60</x:v>
      </x:c>
      <x:c r="B64" s="2" t="str">
        <x:f>INDEX('Cleansed Data'!$A$2:$A$78,MATCH(A64,'Cleansed Data'!$K$2:$K$78,0))</x:f>
        <x:v>อุตรดิตถ์</x:v>
      </x:c>
      <x:c r="C64" s="3" t="n">
        <x:f>INDEX('Cleansed Data'!$J$2:$J$78,MATCH(A64,'Cleansed Data'!$K$2:$K$78,0))</x:f>
        <x:v>432957</x:v>
      </x:c>
      <x:c r="D64" s="14" t="n">
        <x:f>C64/SUM('Cleansed Data'!$J$2:$J$78)</x:f>
        <x:v>0.0065810276941189</x:v>
      </x:c>
      <x:c r="E64" s="3" t="n">
        <x:f>INDEX('Cleansed Data'!$H$2:$H$78,MATCH(A64,'Cleansed Data'!$K$2:$K$78,0))</x:f>
        <x:v>210205</x:v>
      </x:c>
      <x:c r="F64" s="3" t="n">
        <x:f>INDEX('Cleansed Data'!$I$2:$I$78,MATCH(A64,'Cleansed Data'!$K$2:$K$78,0))</x:f>
        <x:v>222752</x:v>
      </x:c>
    </x:row>
    <x:row r="65" ht="24" customHeight="1">
      <x:c r="A65" s="2" t="n">
        <x:v>61</x:v>
      </x:c>
      <x:c r="B65" s="2" t="str">
        <x:f>INDEX('Cleansed Data'!$A$2:$A$78,MATCH(A65,'Cleansed Data'!$K$2:$K$78,0))</x:f>
        <x:v>ภูเก็ต</x:v>
      </x:c>
      <x:c r="C65" s="3" t="n">
        <x:f>INDEX('Cleansed Data'!$J$2:$J$78,MATCH(A65,'Cleansed Data'!$K$2:$K$78,0))</x:f>
        <x:v>432903</x:v>
      </x:c>
      <x:c r="D65" s="14" t="n">
        <x:f>C65/SUM('Cleansed Data'!$J$2:$J$78)</x:f>
        <x:v>0.006580206883979596</x:v>
      </x:c>
      <x:c r="E65" s="3" t="n">
        <x:f>INDEX('Cleansed Data'!$H$2:$H$78,MATCH(A65,'Cleansed Data'!$K$2:$K$78,0))</x:f>
        <x:v>203320</x:v>
      </x:c>
      <x:c r="F65" s="3" t="n">
        <x:f>INDEX('Cleansed Data'!$I$2:$I$78,MATCH(A65,'Cleansed Data'!$K$2:$K$78,0))</x:f>
        <x:v>229583</x:v>
      </x:c>
    </x:row>
    <x:row r="66" ht="24" customHeight="1">
      <x:c r="A66" s="2" t="n">
        <x:v>62</x:v>
      </x:c>
      <x:c r="B66" s="2" t="str">
        <x:f>INDEX('Cleansed Data'!$A$2:$A$78,MATCH(A66,'Cleansed Data'!$K$2:$K$78,0))</x:f>
        <x:v>บึงกาฬ</x:v>
      </x:c>
      <x:c r="C66" s="3" t="n">
        <x:f>INDEX('Cleansed Data'!$J$2:$J$78,MATCH(A66,'Cleansed Data'!$K$2:$K$78,0))</x:f>
        <x:v>417752</x:v>
      </x:c>
      <x:c r="D66" s="14" t="n">
        <x:f>C66/SUM('Cleansed Data'!$J$2:$J$78)</x:f>
        <x:v>0.006349908839153908</x:v>
      </x:c>
      <x:c r="E66" s="3" t="n">
        <x:f>INDEX('Cleansed Data'!$H$2:$H$78,MATCH(A66,'Cleansed Data'!$K$2:$K$78,0))</x:f>
        <x:v>208849</x:v>
      </x:c>
      <x:c r="F66" s="3" t="n">
        <x:f>INDEX('Cleansed Data'!$I$2:$I$78,MATCH(A66,'Cleansed Data'!$K$2:$K$78,0))</x:f>
        <x:v>208903</x:v>
      </x:c>
    </x:row>
    <x:row r="67" ht="24" customHeight="1">
      <x:c r="A67" s="2" t="n">
        <x:v>63</x:v>
      </x:c>
      <x:c r="B67" s="2" t="str">
        <x:f>INDEX('Cleansed Data'!$A$2:$A$78,MATCH(A67,'Cleansed Data'!$K$2:$K$78,0))</x:f>
        <x:v>แพร่</x:v>
      </x:c>
      <x:c r="C67" s="3" t="n">
        <x:f>INDEX('Cleansed Data'!$J$2:$J$78,MATCH(A67,'Cleansed Data'!$K$2:$K$78,0))</x:f>
        <x:v>417015</x:v>
      </x:c>
      <x:c r="D67" s="14" t="n">
        <x:f>C67/SUM('Cleansed Data'!$J$2:$J$78)</x:f>
        <x:v>0.006338706300771192</x:v>
      </x:c>
      <x:c r="E67" s="3" t="n">
        <x:f>INDEX('Cleansed Data'!$H$2:$H$78,MATCH(A67,'Cleansed Data'!$K$2:$K$78,0))</x:f>
        <x:v>199857</x:v>
      </x:c>
      <x:c r="F67" s="3" t="n">
        <x:f>INDEX('Cleansed Data'!$I$2:$I$78,MATCH(A67,'Cleansed Data'!$K$2:$K$78,0))</x:f>
        <x:v>217158</x:v>
      </x:c>
    </x:row>
    <x:row r="68" ht="24" customHeight="1">
      <x:c r="A68" s="2" t="n">
        <x:v>64</x:v>
      </x:c>
      <x:c r="B68" s="2" t="str">
        <x:f>INDEX('Cleansed Data'!$A$2:$A$78,MATCH(A68,'Cleansed Data'!$K$2:$K$78,0))</x:f>
        <x:v>ลำพูน</x:v>
      </x:c>
      <x:c r="C68" s="3" t="n">
        <x:f>INDEX('Cleansed Data'!$J$2:$J$78,MATCH(A68,'Cleansed Data'!$K$2:$K$78,0))</x:f>
        <x:v>394803</x:v>
      </x:c>
      <x:c r="D68" s="14" t="n">
        <x:f>C68/SUM('Cleansed Data'!$J$2:$J$78)</x:f>
        <x:v>0.00600107973013769</x:v>
      </x:c>
      <x:c r="E68" s="3" t="n">
        <x:f>INDEX('Cleansed Data'!$H$2:$H$78,MATCH(A68,'Cleansed Data'!$K$2:$K$78,0))</x:f>
        <x:v>188314</x:v>
      </x:c>
      <x:c r="F68" s="3" t="n">
        <x:f>INDEX('Cleansed Data'!$I$2:$I$78,MATCH(A68,'Cleansed Data'!$K$2:$K$78,0))</x:f>
        <x:v>206489</x:v>
      </x:c>
    </x:row>
    <x:row r="69" ht="24" customHeight="1">
      <x:c r="A69" s="2" t="n">
        <x:v>65</x:v>
      </x:c>
      <x:c r="B69" s="2" t="str">
        <x:f>INDEX('Cleansed Data'!$A$2:$A$78,MATCH(A69,'Cleansed Data'!$K$2:$K$78,0))</x:f>
        <x:v>อำนาจเจริญ</x:v>
      </x:c>
      <x:c r="C69" s="3" t="n">
        <x:f>INDEX('Cleansed Data'!$J$2:$J$78,MATCH(A69,'Cleansed Data'!$K$2:$K$78,0))</x:f>
        <x:v>370514</x:v>
      </x:c>
      <x:c r="D69" s="14" t="n">
        <x:f>C69/SUM('Cleansed Data'!$J$2:$J$78)</x:f>
        <x:v>0.005631882369516534</x:v>
      </x:c>
      <x:c r="E69" s="3" t="n">
        <x:f>INDEX('Cleansed Data'!$H$2:$H$78,MATCH(A69,'Cleansed Data'!$K$2:$K$78,0))</x:f>
        <x:v>183824</x:v>
      </x:c>
      <x:c r="F69" s="3" t="n">
        <x:f>INDEX('Cleansed Data'!$I$2:$I$78,MATCH(A69,'Cleansed Data'!$K$2:$K$78,0))</x:f>
        <x:v>186690</x:v>
      </x:c>
    </x:row>
    <x:row r="70" ht="24" customHeight="1">
      <x:c r="A70" s="2" t="n">
        <x:v>66</x:v>
      </x:c>
      <x:c r="B70" s="2" t="str">
        <x:f>INDEX('Cleansed Data'!$A$2:$A$78,MATCH(A70,'Cleansed Data'!$K$2:$K$78,0))</x:f>
        <x:v>มุกดาหาร</x:v>
      </x:c>
      <x:c r="C70" s="3" t="n">
        <x:f>INDEX('Cleansed Data'!$J$2:$J$78,MATCH(A70,'Cleansed Data'!$K$2:$K$78,0))</x:f>
        <x:v>349384</x:v>
      </x:c>
      <x:c r="D70" s="14" t="n">
        <x:f>C70/SUM('Cleansed Data'!$J$2:$J$78)</x:f>
        <x:v>0.005310702402044632</x:v>
      </x:c>
      <x:c r="E70" s="3" t="n">
        <x:f>INDEX('Cleansed Data'!$H$2:$H$78,MATCH(A70,'Cleansed Data'!$K$2:$K$78,0))</x:f>
        <x:v>174175</x:v>
      </x:c>
      <x:c r="F70" s="3" t="n">
        <x:f>INDEX('Cleansed Data'!$I$2:$I$78,MATCH(A70,'Cleansed Data'!$K$2:$K$78,0))</x:f>
        <x:v>175209</x:v>
      </x:c>
    </x:row>
    <x:row r="71" ht="24" customHeight="1">
      <x:c r="A71" s="2" t="n">
        <x:v>67</x:v>
      </x:c>
      <x:c r="B71" s="2" t="str">
        <x:f>INDEX('Cleansed Data'!$A$2:$A$78,MATCH(A71,'Cleansed Data'!$K$2:$K$78,0))</x:f>
        <x:v>สตูล</x:v>
      </x:c>
      <x:c r="C71" s="3" t="n">
        <x:f>INDEX('Cleansed Data'!$J$2:$J$78,MATCH(A71,'Cleansed Data'!$K$2:$K$78,0))</x:f>
        <x:v>324488</x:v>
      </x:c>
      <x:c r="D71" s="14" t="n">
        <x:f>C71/SUM('Cleansed Data'!$J$2:$J$78)</x:f>
        <x:v>0.004932278527450194</x:v>
      </x:c>
      <x:c r="E71" s="3" t="n">
        <x:f>INDEX('Cleansed Data'!$H$2:$H$78,MATCH(A71,'Cleansed Data'!$K$2:$K$78,0))</x:f>
        <x:v>161348</x:v>
      </x:c>
      <x:c r="F71" s="3" t="n">
        <x:f>INDEX('Cleansed Data'!$I$2:$I$78,MATCH(A71,'Cleansed Data'!$K$2:$K$78,0))</x:f>
        <x:v>163140</x:v>
      </x:c>
    </x:row>
    <x:row r="72" ht="24" customHeight="1">
      <x:c r="A72" s="2" t="n">
        <x:v>68</x:v>
      </x:c>
      <x:c r="B72" s="2" t="str">
        <x:f>INDEX('Cleansed Data'!$A$2:$A$78,MATCH(A72,'Cleansed Data'!$K$2:$K$78,0))</x:f>
        <x:v>อุทัยธานี</x:v>
      </x:c>
      <x:c r="C72" s="3" t="n">
        <x:f>INDEX('Cleansed Data'!$J$2:$J$78,MATCH(A72,'Cleansed Data'!$K$2:$K$78,0))</x:f>
        <x:v>318751</x:v>
      </x:c>
      <x:c r="D72" s="14" t="n">
        <x:f>C72/SUM('Cleansed Data'!$J$2:$J$78)</x:f>
        <x:v>0.00484507505024308</x:v>
      </x:c>
      <x:c r="E72" s="3" t="n">
        <x:f>INDEX('Cleansed Data'!$H$2:$H$78,MATCH(A72,'Cleansed Data'!$K$2:$K$78,0))</x:f>
        <x:v>155343</x:v>
      </x:c>
      <x:c r="F72" s="3" t="n">
        <x:f>INDEX('Cleansed Data'!$I$2:$I$78,MATCH(A72,'Cleansed Data'!$K$2:$K$78,0))</x:f>
        <x:v>163408</x:v>
      </x:c>
    </x:row>
    <x:row r="73" ht="24" customHeight="1">
      <x:c r="A73" s="2" t="n">
        <x:v>69</x:v>
      </x:c>
      <x:c r="B73" s="2" t="str">
        <x:f>INDEX('Cleansed Data'!$A$2:$A$78,MATCH(A73,'Cleansed Data'!$K$2:$K$78,0))</x:f>
        <x:v>ชัยนาท</x:v>
      </x:c>
      <x:c r="C73" s="3" t="n">
        <x:f>INDEX('Cleansed Data'!$J$2:$J$78,MATCH(A73,'Cleansed Data'!$K$2:$K$78,0))</x:f>
        <x:v>311427</x:v>
      </x:c>
      <x:c r="D73" s="14" t="n">
        <x:f>C73/SUM('Cleansed Data'!$J$2:$J$78)</x:f>
        <x:v>0.004733748875053104</x:v>
      </x:c>
      <x:c r="E73" s="3" t="n">
        <x:f>INDEX('Cleansed Data'!$H$2:$H$78,MATCH(A73,'Cleansed Data'!$K$2:$K$78,0))</x:f>
        <x:v>149339</x:v>
      </x:c>
      <x:c r="F73" s="3" t="n">
        <x:f>INDEX('Cleansed Data'!$I$2:$I$78,MATCH(A73,'Cleansed Data'!$K$2:$K$78,0))</x:f>
        <x:v>162088</x:v>
      </x:c>
    </x:row>
    <x:row r="74" ht="24" customHeight="1">
      <x:c r="A74" s="2" t="n">
        <x:v>70</x:v>
      </x:c>
      <x:c r="B74" s="2" t="str">
        <x:f>INDEX('Cleansed Data'!$A$2:$A$78,MATCH(A74,'Cleansed Data'!$K$2:$K$78,0))</x:f>
        <x:v>แม่ฮ่องสอน</x:v>
      </x:c>
      <x:c r="C74" s="3" t="n">
        <x:f>INDEX('Cleansed Data'!$J$2:$J$78,MATCH(A74,'Cleansed Data'!$K$2:$K$78,0))</x:f>
        <x:v>288772</x:v>
      </x:c>
      <x:c r="D74" s="14" t="n">
        <x:f>C74/SUM('Cleansed Data'!$J$2:$J$78)</x:f>
        <x:v>0.00438938862123976</x:v>
      </x:c>
      <x:c r="E74" s="3" t="n">
        <x:f>INDEX('Cleansed Data'!$H$2:$H$78,MATCH(A74,'Cleansed Data'!$K$2:$K$78,0))</x:f>
        <x:v>145885</x:v>
      </x:c>
      <x:c r="F74" s="3" t="n">
        <x:f>INDEX('Cleansed Data'!$I$2:$I$78,MATCH(A74,'Cleansed Data'!$K$2:$K$78,0))</x:f>
        <x:v>142887</x:v>
      </x:c>
    </x:row>
    <x:row r="75" ht="24" customHeight="1">
      <x:c r="A75" s="2" t="n">
        <x:v>71</x:v>
      </x:c>
      <x:c r="B75" s="2" t="str">
        <x:f>INDEX('Cleansed Data'!$A$2:$A$78,MATCH(A75,'Cleansed Data'!$K$2:$K$78,0))</x:f>
        <x:v>อ่างทอง</x:v>
      </x:c>
      <x:c r="C75" s="3" t="n">
        <x:f>INDEX('Cleansed Data'!$J$2:$J$78,MATCH(A75,'Cleansed Data'!$K$2:$K$78,0))</x:f>
        <x:v>266742</x:v>
      </x:c>
      <x:c r="D75" s="14" t="n">
        <x:f>C75/SUM('Cleansed Data'!$J$2:$J$78)</x:f>
        <x:v>0.0040545284847794665</x:v>
      </x:c>
      <x:c r="E75" s="3" t="n">
        <x:f>INDEX('Cleansed Data'!$H$2:$H$78,MATCH(A75,'Cleansed Data'!$K$2:$K$78,0))</x:f>
        <x:v>127350</x:v>
      </x:c>
      <x:c r="F75" s="3" t="n">
        <x:f>INDEX('Cleansed Data'!$I$2:$I$78,MATCH(A75,'Cleansed Data'!$K$2:$K$78,0))</x:f>
        <x:v>139392</x:v>
      </x:c>
    </x:row>
    <x:row r="76" ht="24" customHeight="1">
      <x:c r="A76" s="2" t="n">
        <x:v>72</x:v>
      </x:c>
      <x:c r="B76" s="2" t="str">
        <x:f>INDEX('Cleansed Data'!$A$2:$A$78,MATCH(A76,'Cleansed Data'!$K$2:$K$78,0))</x:f>
        <x:v>พังงา</x:v>
      </x:c>
      <x:c r="C76" s="3" t="n">
        <x:f>INDEX('Cleansed Data'!$J$2:$J$78,MATCH(A76,'Cleansed Data'!$K$2:$K$78,0))</x:f>
        <x:v>265563</x:v>
      </x:c>
      <x:c r="D76" s="14" t="n">
        <x:f>C76/SUM('Cleansed Data'!$J$2:$J$78)</x:f>
        <x:v>0.004036607463404674</x:v>
      </x:c>
      <x:c r="E76" s="3" t="n">
        <x:f>INDEX('Cleansed Data'!$H$2:$H$78,MATCH(A76,'Cleansed Data'!$K$2:$K$78,0))</x:f>
        <x:v>132480</x:v>
      </x:c>
      <x:c r="F76" s="3" t="n">
        <x:f>INDEX('Cleansed Data'!$I$2:$I$78,MATCH(A76,'Cleansed Data'!$K$2:$K$78,0))</x:f>
        <x:v>133083</x:v>
      </x:c>
    </x:row>
    <x:row r="77" ht="24" customHeight="1">
      <x:c r="A77" s="2" t="n">
        <x:v>73</x:v>
      </x:c>
      <x:c r="B77" s="2" t="str">
        <x:f>INDEX('Cleansed Data'!$A$2:$A$78,MATCH(A77,'Cleansed Data'!$K$2:$K$78,0))</x:f>
        <x:v>นครนายก</x:v>
      </x:c>
      <x:c r="C77" s="3" t="n">
        <x:f>INDEX('Cleansed Data'!$J$2:$J$78,MATCH(A77,'Cleansed Data'!$K$2:$K$78,0))</x:f>
        <x:v>259504</x:v>
      </x:c>
      <x:c r="D77" s="14" t="n">
        <x:f>C77/SUM('Cleansed Data'!$J$2:$J$78)</x:f>
        <x:v>0.003944509525737269</x:v>
      </x:c>
      <x:c r="E77" s="3" t="n">
        <x:f>INDEX('Cleansed Data'!$H$2:$H$78,MATCH(A77,'Cleansed Data'!$K$2:$K$78,0))</x:f>
        <x:v>128119</x:v>
      </x:c>
      <x:c r="F77" s="3" t="n">
        <x:f>INDEX('Cleansed Data'!$I$2:$I$78,MATCH(A77,'Cleansed Data'!$K$2:$K$78,0))</x:f>
        <x:v>131385</x:v>
      </x:c>
    </x:row>
    <x:row r="78" ht="24" customHeight="1">
      <x:c r="A78" s="2" t="n">
        <x:v>74</x:v>
      </x:c>
      <x:c r="B78" s="2" t="str">
        <x:f>INDEX('Cleansed Data'!$A$2:$A$78,MATCH(A78,'Cleansed Data'!$K$2:$K$78,0))</x:f>
        <x:v>ตราด</x:v>
      </x:c>
      <x:c r="C78" s="3" t="n">
        <x:f>INDEX('Cleansed Data'!$J$2:$J$78,MATCH(A78,'Cleansed Data'!$K$2:$K$78,0))</x:f>
        <x:v>225546</x:v>
      </x:c>
      <x:c r="D78" s="14" t="n">
        <x:f>C78/SUM('Cleansed Data'!$J$2:$J$78)</x:f>
        <x:v>0.003428341549617494</x:v>
      </x:c>
      <x:c r="E78" s="3" t="n">
        <x:f>INDEX('Cleansed Data'!$H$2:$H$78,MATCH(A78,'Cleansed Data'!$K$2:$K$78,0))</x:f>
        <x:v>111231</x:v>
      </x:c>
      <x:c r="F78" s="3" t="n">
        <x:f>INDEX('Cleansed Data'!$I$2:$I$78,MATCH(A78,'Cleansed Data'!$K$2:$K$78,0))</x:f>
        <x:v>114315</x:v>
      </x:c>
    </x:row>
    <x:row r="79" ht="24" customHeight="1">
      <x:c r="A79" s="2" t="n">
        <x:v>75</x:v>
      </x:c>
      <x:c r="B79" s="2" t="str">
        <x:f>INDEX('Cleansed Data'!$A$2:$A$78,MATCH(A79,'Cleansed Data'!$K$2:$K$78,0))</x:f>
        <x:v>สิงห์บุรี</x:v>
      </x:c>
      <x:c r="C79" s="3" t="n">
        <x:f>INDEX('Cleansed Data'!$J$2:$J$78,MATCH(A79,'Cleansed Data'!$K$2:$K$78,0))</x:f>
        <x:v>197870</x:v>
      </x:c>
      <x:c r="D79" s="14" t="n">
        <x:f>C79/SUM('Cleansed Data'!$J$2:$J$78)</x:f>
        <x:v>0.0030076611530366914</x:v>
      </x:c>
      <x:c r="E79" s="3" t="n">
        <x:f>INDEX('Cleansed Data'!$H$2:$H$78,MATCH(A79,'Cleansed Data'!$K$2:$K$78,0))</x:f>
        <x:v>93905</x:v>
      </x:c>
      <x:c r="F79" s="3" t="n">
        <x:f>INDEX('Cleansed Data'!$I$2:$I$78,MATCH(A79,'Cleansed Data'!$K$2:$K$78,0))</x:f>
        <x:v>103965</x:v>
      </x:c>
    </x:row>
    <x:row r="80" ht="24" customHeight="1">
      <x:c r="A80" s="2" t="n">
        <x:v>76</x:v>
      </x:c>
      <x:c r="B80" s="2" t="str">
        <x:f>INDEX('Cleansed Data'!$A$2:$A$78,MATCH(A80,'Cleansed Data'!$K$2:$K$78,0))</x:f>
        <x:v>ระนอง</x:v>
      </x:c>
      <x:c r="C80" s="3" t="n">
        <x:f>INDEX('Cleansed Data'!$J$2:$J$78,MATCH(A80,'Cleansed Data'!$K$2:$K$78,0))</x:f>
        <x:v>192349</x:v>
      </x:c>
      <x:c r="D80" s="14" t="n">
        <x:f>C80/SUM('Cleansed Data'!$J$2:$J$78)</x:f>
        <x:v>0.0029237409163867917</x:v>
      </x:c>
      <x:c r="E80" s="3" t="n">
        <x:f>INDEX('Cleansed Data'!$H$2:$H$78,MATCH(A80,'Cleansed Data'!$K$2:$K$78,0))</x:f>
        <x:v>96580</x:v>
      </x:c>
      <x:c r="F80" s="3" t="n">
        <x:f>INDEX('Cleansed Data'!$I$2:$I$78,MATCH(A80,'Cleansed Data'!$K$2:$K$78,0))</x:f>
        <x:v>95769</x:v>
      </x:c>
    </x:row>
    <x:row r="81" ht="24" customHeight="1">
      <x:c r="A81" s="2" t="n">
        <x:v>77</x:v>
      </x:c>
      <x:c r="B81" s="2" t="str">
        <x:f>INDEX('Cleansed Data'!$A$2:$A$78,MATCH(A81,'Cleansed Data'!$K$2:$K$78,0))</x:f>
        <x:v>สมุทรสงคราม</x:v>
      </x:c>
      <x:c r="C81" s="3" t="n">
        <x:f>INDEX('Cleansed Data'!$J$2:$J$78,MATCH(A81,'Cleansed Data'!$K$2:$K$78,0))</x:f>
        <x:v>185125</x:v>
      </x:c>
      <x:c r="D81" s="14" t="n">
        <x:f>C81/SUM('Cleansed Data'!$J$2:$J$78)</x:f>
        <x:v>0.002813934759973303</x:v>
      </x:c>
      <x:c r="E81" s="3" t="n">
        <x:f>INDEX('Cleansed Data'!$H$2:$H$78,MATCH(A81,'Cleansed Data'!$K$2:$K$78,0))</x:f>
        <x:v>88126</x:v>
      </x:c>
      <x:c r="F81" s="3" t="n">
        <x:f>INDEX('Cleansed Data'!$I$2:$I$78,MATCH(A81,'Cleansed Data'!$K$2:$K$78,0))</x:f>
        <x:v>96999</x:v>
      </x:c>
    </x:row>
    <x:row r="82" ht="24" customHeight="1">
      <x:c r="A82" s="2"/>
      <x:c r="B82" s="2"/>
      <x:c r="C82" s="2"/>
      <x:c r="D82" s="2"/>
      <x:c r="E82" s="2"/>
      <x:c r="F82" s="2"/>
    </x:row>
    <x:row r="83" ht="24" customHeight="1">
      <x:c r="A83" s="2"/>
      <x:c r="B83" s="2"/>
      <x:c r="C83" s="2"/>
      <x:c r="D83" s="2"/>
      <x:c r="E83" s="2"/>
      <x:c r="F83" s="2"/>
    </x:row>
    <x:row r="84" ht="24" customHeight="1">
      <x:c r="A84" s="2"/>
      <x:c r="B84" s="2"/>
      <x:c r="C84" s="2"/>
      <x:c r="D84" s="2"/>
      <x:c r="E84" s="2"/>
      <x:c r="F84" s="2"/>
    </x:row>
    <x:row r="85" ht="24" customHeight="1">
      <x:c r="A85" s="2"/>
      <x:c r="B85" s="2"/>
      <x:c r="C85" s="2"/>
      <x:c r="D85" s="2"/>
      <x:c r="E85" s="2"/>
      <x:c r="F85" s="2"/>
    </x:row>
    <x:row r="86" ht="24" customHeight="1">
      <x:c r="A86" s="2"/>
      <x:c r="B86" s="2"/>
      <x:c r="C86" s="2"/>
      <x:c r="D86" s="2"/>
      <x:c r="E86" s="2"/>
      <x:c r="F86" s="2"/>
    </x:row>
    <x:row r="87" ht="24" customHeight="1">
      <x:c r="A87" s="2"/>
      <x:c r="B87" s="2"/>
      <x:c r="C87" s="2"/>
      <x:c r="D87" s="2"/>
      <x:c r="E87" s="2"/>
      <x:c r="F8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 ht="24" customHeight="1">
      <x:c r="A1" s="2" t="str">
        <x:v>สถิติจำนวนประชากร</x:v>
      </x:c>
      <x:c r="B1" s="3"/>
      <x:c r="C1" s="3"/>
      <x:c r="D1" s="3"/>
      <x:c r="E1" s="3"/>
      <x:c r="F1" s="3"/>
      <x:c r="G1" s="3"/>
      <x:c r="H1" s="3"/>
      <x:c r="I1" s="3"/>
      <x:c r="J1" s="3"/>
      <x:c r="K1" s="2"/>
    </x:row>
    <x:row r="2" ht="24" customHeight="1">
      <x:c r="A2" s="2" t="str">
        <x:v>พื้นที่ ทั่วประเทศ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</x:row>
    <x:row r="3" ht="24" customHeight="1">
      <x:c r="A3" s="2" t="str">
        <x:v>ข้อมูลเดือน มกราคม 2569</x:v>
      </x:c>
      <x:c r="B3" s="3"/>
      <x:c r="C3" s="3"/>
      <x:c r="D3" s="3"/>
      <x:c r="E3" s="3"/>
      <x:c r="F3" s="3"/>
      <x:c r="G3" s="3"/>
      <x:c r="H3" s="3"/>
      <x:c r="I3" s="3"/>
      <x:c r="J3" s="3"/>
      <x:c r="K3" s="2"/>
    </x:row>
    <x:row r="4" ht="30" customHeight="1">
      <x:c r="A4" s="10" t="str">
        <x:v>พื้นที่</x:v>
      </x:c>
      <x:c r="B4" s="11" t="str">
        <x:v>ชาย(ไทย)</x:v>
      </x:c>
      <x:c r="C4" s="11" t="str">
        <x:v>หญิง(ไทย)</x:v>
      </x:c>
      <x:c r="D4" s="11" t="str">
        <x:v>รวม(ไทย)</x:v>
      </x:c>
      <x:c r="E4" s="11" t="str">
        <x:v>ชาย(ไม่ใช่ไทย)</x:v>
      </x:c>
      <x:c r="F4" s="11" t="str">
        <x:v>หญิง(ไม่ใช่ไทย)</x:v>
      </x:c>
      <x:c r="G4" s="11" t="str">
        <x:v>รวม(ไม่ใช่ไทย)</x:v>
      </x:c>
      <x:c r="H4" s="11" t="str">
        <x:v>ชาย(รวม)</x:v>
      </x:c>
      <x:c r="I4" s="11" t="str">
        <x:v>หญิง(รวม)</x:v>
      </x:c>
      <x:c r="J4" s="11" t="str">
        <x:v>รวม(รวม)</x:v>
      </x:c>
      <x:c r="K4" s="2"/>
    </x:row>
    <x:row r="5" ht="24" customHeight="1">
      <x:c r="A5" s="2" t="str">
        <x:v>ยอดรวมทั้งหมด</x:v>
      </x:c>
      <x:c r="B5" s="3" t="n">
        <x:v>31510638</x:v>
      </x:c>
      <x:c r="C5" s="3" t="n">
        <x:v>33291009</x:v>
      </x:c>
      <x:c r="D5" s="3" t="n">
        <x:v>64801647</x:v>
      </x:c>
      <x:c r="E5" s="3" t="n">
        <x:v>521194</x:v>
      </x:c>
      <x:c r="F5" s="3" t="n">
        <x:v>465820</x:v>
      </x:c>
      <x:c r="G5" s="3" t="n">
        <x:v>987014</x:v>
      </x:c>
      <x:c r="H5" s="3" t="n">
        <x:v>32031832</x:v>
      </x:c>
      <x:c r="I5" s="3" t="n">
        <x:v>33756829</x:v>
      </x:c>
      <x:c r="J5" s="3" t="n">
        <x:v>65788661</x:v>
      </x:c>
      <x:c r="K5" s="2"/>
    </x:row>
    <x:row r="6" ht="24" customHeight="1">
      <x:c r="A6" s="2" t="str">
        <x:v>กรุงเทพมหานคร</x:v>
      </x:c>
      <x:c r="B6" s="3" t="n">
        <x:v>2467150</x:v>
      </x:c>
      <x:c r="C6" s="3" t="n">
        <x:v>2849478</x:v>
      </x:c>
      <x:c r="D6" s="3" t="n">
        <x:v>5316628</x:v>
      </x:c>
      <x:c r="E6" s="3" t="n">
        <x:v>57180</x:v>
      </x:c>
      <x:c r="F6" s="3" t="n">
        <x:v>45676</x:v>
      </x:c>
      <x:c r="G6" s="3" t="n">
        <x:v>102856</x:v>
      </x:c>
      <x:c r="H6" s="3" t="n">
        <x:v>2524330</x:v>
      </x:c>
      <x:c r="I6" s="3" t="n">
        <x:v>2895154</x:v>
      </x:c>
      <x:c r="J6" s="3" t="n">
        <x:v>5419484</x:v>
      </x:c>
      <x:c r="K6" s="2"/>
    </x:row>
    <x:row r="7" ht="24" customHeight="1">
      <x:c r="A7" s="2" t="str">
        <x:v>จังหวัดสมุทรปราการ</x:v>
      </x:c>
      <x:c r="B7" s="3" t="n">
        <x:v>646554</x:v>
      </x:c>
      <x:c r="C7" s="3" t="n">
        <x:v>722554</x:v>
      </x:c>
      <x:c r="D7" s="3" t="n">
        <x:v>1369108</x:v>
      </x:c>
      <x:c r="E7" s="3" t="n">
        <x:v>8060</x:v>
      </x:c>
      <x:c r="F7" s="3" t="n">
        <x:v>7023</x:v>
      </x:c>
      <x:c r="G7" s="3" t="n">
        <x:v>15083</x:v>
      </x:c>
      <x:c r="H7" s="3" t="n">
        <x:v>654614</x:v>
      </x:c>
      <x:c r="I7" s="3" t="n">
        <x:v>729577</x:v>
      </x:c>
      <x:c r="J7" s="3" t="n">
        <x:v>1384191</x:v>
      </x:c>
      <x:c r="K7" s="2"/>
    </x:row>
    <x:row r="8" ht="24" customHeight="1">
      <x:c r="A8" s="2" t="str">
        <x:v>จังหวัดนนทบุรี</x:v>
      </x:c>
      <x:c r="B8" s="3" t="n">
        <x:v>605712</x:v>
      </x:c>
      <x:c r="C8" s="3" t="n">
        <x:v>706902</x:v>
      </x:c>
      <x:c r="D8" s="3" t="n">
        <x:v>1312614</x:v>
      </x:c>
      <x:c r="E8" s="3" t="n">
        <x:v>5212</x:v>
      </x:c>
      <x:c r="F8" s="3" t="n">
        <x:v>4408</x:v>
      </x:c>
      <x:c r="G8" s="3" t="n">
        <x:v>9620</x:v>
      </x:c>
      <x:c r="H8" s="3" t="n">
        <x:v>610924</x:v>
      </x:c>
      <x:c r="I8" s="3" t="n">
        <x:v>711310</x:v>
      </x:c>
      <x:c r="J8" s="3" t="n">
        <x:v>1322234</x:v>
      </x:c>
      <x:c r="K8" s="2"/>
    </x:row>
    <x:row r="9" ht="24" customHeight="1">
      <x:c r="A9" s="2" t="str">
        <x:v>จังหวัดปทุมธานี</x:v>
      </x:c>
      <x:c r="B9" s="3" t="n">
        <x:v>582102</x:v>
      </x:c>
      <x:c r="C9" s="3" t="n">
        <x:v>654014</x:v>
      </x:c>
      <x:c r="D9" s="3" t="n">
        <x:v>1236116</x:v>
      </x:c>
      <x:c r="E9" s="3" t="n">
        <x:v>5682</x:v>
      </x:c>
      <x:c r="F9" s="3" t="n">
        <x:v>4817</x:v>
      </x:c>
      <x:c r="G9" s="3" t="n">
        <x:v>10499</x:v>
      </x:c>
      <x:c r="H9" s="3" t="n">
        <x:v>587784</x:v>
      </x:c>
      <x:c r="I9" s="3" t="n">
        <x:v>658831</x:v>
      </x:c>
      <x:c r="J9" s="3" t="n">
        <x:v>1246615</x:v>
      </x:c>
      <x:c r="K9" s="2"/>
    </x:row>
    <x:row r="10" ht="24" customHeight="1">
      <x:c r="A10" s="2" t="str">
        <x:v>จังหวัดพระนครศรีอยุธยา</x:v>
      </x:c>
      <x:c r="B10" s="3" t="n">
        <x:v>392549</x:v>
      </x:c>
      <x:c r="C10" s="3" t="n">
        <x:v>427514</x:v>
      </x:c>
      <x:c r="D10" s="3" t="n">
        <x:v>820063</x:v>
      </x:c>
      <x:c r="E10" s="3" t="n">
        <x:v>1316</x:v>
      </x:c>
      <x:c r="F10" s="3" t="n">
        <x:v>1126</x:v>
      </x:c>
      <x:c r="G10" s="3" t="n">
        <x:v>2442</x:v>
      </x:c>
      <x:c r="H10" s="3" t="n">
        <x:v>393865</x:v>
      </x:c>
      <x:c r="I10" s="3" t="n">
        <x:v>428640</x:v>
      </x:c>
      <x:c r="J10" s="3" t="n">
        <x:v>822505</x:v>
      </x:c>
      <x:c r="K10" s="2"/>
    </x:row>
    <x:row r="11" ht="24" customHeight="1">
      <x:c r="A11" s="2" t="str">
        <x:v>จังหวัดอ่างทอง</x:v>
      </x:c>
      <x:c r="B11" s="3" t="n">
        <x:v>127112</x:v>
      </x:c>
      <x:c r="C11" s="3" t="n">
        <x:v>139174</x:v>
      </x:c>
      <x:c r="D11" s="3" t="n">
        <x:v>266286</x:v>
      </x:c>
      <x:c r="E11" s="3" t="n">
        <x:v>238</x:v>
      </x:c>
      <x:c r="F11" s="3" t="n">
        <x:v>218</x:v>
      </x:c>
      <x:c r="G11" s="3" t="n">
        <x:v>456</x:v>
      </x:c>
      <x:c r="H11" s="3" t="n">
        <x:v>127350</x:v>
      </x:c>
      <x:c r="I11" s="3" t="n">
        <x:v>139392</x:v>
      </x:c>
      <x:c r="J11" s="3" t="n">
        <x:v>266742</x:v>
      </x:c>
      <x:c r="K11" s="2"/>
    </x:row>
    <x:row r="12" ht="24" customHeight="1">
      <x:c r="A12" s="2" t="str">
        <x:v>จังหวัดลพบุรี</x:v>
      </x:c>
      <x:c r="B12" s="3" t="n">
        <x:v>356585</x:v>
      </x:c>
      <x:c r="C12" s="3" t="n">
        <x:v>362865</x:v>
      </x:c>
      <x:c r="D12" s="3" t="n">
        <x:v>719450</x:v>
      </x:c>
      <x:c r="E12" s="3" t="n">
        <x:v>823</x:v>
      </x:c>
      <x:c r="F12" s="3" t="n">
        <x:v>632</x:v>
      </x:c>
      <x:c r="G12" s="3" t="n">
        <x:v>1455</x:v>
      </x:c>
      <x:c r="H12" s="3" t="n">
        <x:v>357408</x:v>
      </x:c>
      <x:c r="I12" s="3" t="n">
        <x:v>363497</x:v>
      </x:c>
      <x:c r="J12" s="3" t="n">
        <x:v>720905</x:v>
      </x:c>
      <x:c r="K12" s="2"/>
    </x:row>
    <x:row r="13" ht="24" customHeight="1">
      <x:c r="A13" s="2" t="str">
        <x:v>จังหวัดสิงห์บุรี</x:v>
      </x:c>
      <x:c r="B13" s="3" t="n">
        <x:v>93743</x:v>
      </x:c>
      <x:c r="C13" s="3" t="n">
        <x:v>103824</x:v>
      </x:c>
      <x:c r="D13" s="3" t="n">
        <x:v>197567</x:v>
      </x:c>
      <x:c r="E13" s="3" t="n">
        <x:v>162</x:v>
      </x:c>
      <x:c r="F13" s="3" t="n">
        <x:v>141</x:v>
      </x:c>
      <x:c r="G13" s="3" t="n">
        <x:v>303</x:v>
      </x:c>
      <x:c r="H13" s="3" t="n">
        <x:v>93905</x:v>
      </x:c>
      <x:c r="I13" s="3" t="n">
        <x:v>103965</x:v>
      </x:c>
      <x:c r="J13" s="3" t="n">
        <x:v>197870</x:v>
      </x:c>
      <x:c r="K13" s="2"/>
    </x:row>
    <x:row r="14" ht="24" customHeight="1">
      <x:c r="A14" s="2" t="str">
        <x:v>จังหวัดชัยนาท</x:v>
      </x:c>
      <x:c r="B14" s="3" t="n">
        <x:v>149137</x:v>
      </x:c>
      <x:c r="C14" s="3" t="n">
        <x:v>161923</x:v>
      </x:c>
      <x:c r="D14" s="3" t="n">
        <x:v>311060</x:v>
      </x:c>
      <x:c r="E14" s="3" t="n">
        <x:v>202</x:v>
      </x:c>
      <x:c r="F14" s="3" t="n">
        <x:v>165</x:v>
      </x:c>
      <x:c r="G14" s="3" t="n">
        <x:v>367</x:v>
      </x:c>
      <x:c r="H14" s="3" t="n">
        <x:v>149339</x:v>
      </x:c>
      <x:c r="I14" s="3" t="n">
        <x:v>162088</x:v>
      </x:c>
      <x:c r="J14" s="3" t="n">
        <x:v>311427</x:v>
      </x:c>
      <x:c r="K14" s="2"/>
    </x:row>
    <x:row r="15" ht="24" customHeight="1">
      <x:c r="A15" s="2" t="str">
        <x:v>จังหวัดสระบุรี</x:v>
      </x:c>
      <x:c r="B15" s="3" t="n">
        <x:v>311845</x:v>
      </x:c>
      <x:c r="C15" s="3" t="n">
        <x:v>324553</x:v>
      </x:c>
      <x:c r="D15" s="3" t="n">
        <x:v>636398</x:v>
      </x:c>
      <x:c r="E15" s="3" t="n">
        <x:v>1148</x:v>
      </x:c>
      <x:c r="F15" s="3" t="n">
        <x:v>1001</x:v>
      </x:c>
      <x:c r="G15" s="3" t="n">
        <x:v>2149</x:v>
      </x:c>
      <x:c r="H15" s="3" t="n">
        <x:v>312993</x:v>
      </x:c>
      <x:c r="I15" s="3" t="n">
        <x:v>325554</x:v>
      </x:c>
      <x:c r="J15" s="3" t="n">
        <x:v>638547</x:v>
      </x:c>
      <x:c r="K15" s="2"/>
    </x:row>
    <x:row r="16" ht="24" customHeight="1">
      <x:c r="A16" s="2" t="str">
        <x:v>จังหวัดชลบุรี</x:v>
      </x:c>
      <x:c r="B16" s="3" t="n">
        <x:v>784352</x:v>
      </x:c>
      <x:c r="C16" s="3" t="n">
        <x:v>838971</x:v>
      </x:c>
      <x:c r="D16" s="3" t="n">
        <x:v>1623323</x:v>
      </x:c>
      <x:c r="E16" s="3" t="n">
        <x:v>14400</x:v>
      </x:c>
      <x:c r="F16" s="3" t="n">
        <x:v>9099</x:v>
      </x:c>
      <x:c r="G16" s="3" t="n">
        <x:v>23499</x:v>
      </x:c>
      <x:c r="H16" s="3" t="n">
        <x:v>798752</x:v>
      </x:c>
      <x:c r="I16" s="3" t="n">
        <x:v>848070</x:v>
      </x:c>
      <x:c r="J16" s="3" t="n">
        <x:v>1646822</x:v>
      </x:c>
      <x:c r="K16" s="2"/>
    </x:row>
    <x:row r="17" ht="24" customHeight="1">
      <x:c r="A17" s="2" t="str">
        <x:v>จังหวัดระยอง</x:v>
      </x:c>
      <x:c r="B17" s="3" t="n">
        <x:v>381921</x:v>
      </x:c>
      <x:c r="C17" s="3" t="n">
        <x:v>400651</x:v>
      </x:c>
      <x:c r="D17" s="3" t="n">
        <x:v>782572</x:v>
      </x:c>
      <x:c r="E17" s="3" t="n">
        <x:v>4632</x:v>
      </x:c>
      <x:c r="F17" s="3" t="n">
        <x:v>3228</x:v>
      </x:c>
      <x:c r="G17" s="3" t="n">
        <x:v>7860</x:v>
      </x:c>
      <x:c r="H17" s="3" t="n">
        <x:v>386553</x:v>
      </x:c>
      <x:c r="I17" s="3" t="n">
        <x:v>403879</x:v>
      </x:c>
      <x:c r="J17" s="3" t="n">
        <x:v>790432</x:v>
      </x:c>
      <x:c r="K17" s="2"/>
    </x:row>
    <x:row r="18" ht="24" customHeight="1">
      <x:c r="A18" s="2" t="str">
        <x:v>จังหวัดจันทบุรี</x:v>
      </x:c>
      <x:c r="B18" s="3" t="n">
        <x:v>258277</x:v>
      </x:c>
      <x:c r="C18" s="3" t="n">
        <x:v>272000</x:v>
      </x:c>
      <x:c r="D18" s="3" t="n">
        <x:v>530277</x:v>
      </x:c>
      <x:c r="E18" s="3" t="n">
        <x:v>2620</x:v>
      </x:c>
      <x:c r="F18" s="3" t="n">
        <x:v>2435</x:v>
      </x:c>
      <x:c r="G18" s="3" t="n">
        <x:v>5055</x:v>
      </x:c>
      <x:c r="H18" s="3" t="n">
        <x:v>260897</x:v>
      </x:c>
      <x:c r="I18" s="3" t="n">
        <x:v>274435</x:v>
      </x:c>
      <x:c r="J18" s="3" t="n">
        <x:v>535332</x:v>
      </x:c>
      <x:c r="K18" s="2"/>
    </x:row>
    <x:row r="19" ht="24" customHeight="1">
      <x:c r="A19" s="2" t="str">
        <x:v>จังหวัดตราด</x:v>
      </x:c>
      <x:c r="B19" s="3" t="n">
        <x:v>106597</x:v>
      </x:c>
      <x:c r="C19" s="3" t="n">
        <x:v>109769</x:v>
      </x:c>
      <x:c r="D19" s="3" t="n">
        <x:v>216366</x:v>
      </x:c>
      <x:c r="E19" s="3" t="n">
        <x:v>4634</x:v>
      </x:c>
      <x:c r="F19" s="3" t="n">
        <x:v>4546</x:v>
      </x:c>
      <x:c r="G19" s="3" t="n">
        <x:v>9180</x:v>
      </x:c>
      <x:c r="H19" s="3" t="n">
        <x:v>111231</x:v>
      </x:c>
      <x:c r="I19" s="3" t="n">
        <x:v>114315</x:v>
      </x:c>
      <x:c r="J19" s="3" t="n">
        <x:v>225546</x:v>
      </x:c>
      <x:c r="K19" s="2"/>
    </x:row>
    <x:row r="20" ht="24" customHeight="1">
      <x:c r="A20" s="2" t="str">
        <x:v>จังหวัดฉะเชิงเทรา</x:v>
      </x:c>
      <x:c r="B20" s="3" t="n">
        <x:v>356505</x:v>
      </x:c>
      <x:c r="C20" s="3" t="n">
        <x:v>373218</x:v>
      </x:c>
      <x:c r="D20" s="3" t="n">
        <x:v>729723</x:v>
      </x:c>
      <x:c r="E20" s="3" t="n">
        <x:v>1932</x:v>
      </x:c>
      <x:c r="F20" s="3" t="n">
        <x:v>1772</x:v>
      </x:c>
      <x:c r="G20" s="3" t="n">
        <x:v>3704</x:v>
      </x:c>
      <x:c r="H20" s="3" t="n">
        <x:v>358437</x:v>
      </x:c>
      <x:c r="I20" s="3" t="n">
        <x:v>374990</x:v>
      </x:c>
      <x:c r="J20" s="3" t="n">
        <x:v>733427</x:v>
      </x:c>
      <x:c r="K20" s="2"/>
    </x:row>
    <x:row r="21" ht="24" customHeight="1">
      <x:c r="A21" s="2" t="str">
        <x:v>จังหวัดปราจีนบุรี</x:v>
      </x:c>
      <x:c r="B21" s="3" t="n">
        <x:v>246898</x:v>
      </x:c>
      <x:c r="C21" s="3" t="n">
        <x:v>253908</x:v>
      </x:c>
      <x:c r="D21" s="3" t="n">
        <x:v>500806</x:v>
      </x:c>
      <x:c r="E21" s="3" t="n">
        <x:v>789</x:v>
      </x:c>
      <x:c r="F21" s="3" t="n">
        <x:v>566</x:v>
      </x:c>
      <x:c r="G21" s="3" t="n">
        <x:v>1355</x:v>
      </x:c>
      <x:c r="H21" s="3" t="n">
        <x:v>247687</x:v>
      </x:c>
      <x:c r="I21" s="3" t="n">
        <x:v>254474</x:v>
      </x:c>
      <x:c r="J21" s="3" t="n">
        <x:v>502161</x:v>
      </x:c>
      <x:c r="K21" s="2"/>
    </x:row>
    <x:row r="22" ht="24" customHeight="1">
      <x:c r="A22" s="2" t="str">
        <x:v>จังหวัดนครนายก</x:v>
      </x:c>
      <x:c r="B22" s="3" t="n">
        <x:v>127367</x:v>
      </x:c>
      <x:c r="C22" s="3" t="n">
        <x:v>130794</x:v>
      </x:c>
      <x:c r="D22" s="3" t="n">
        <x:v>258161</x:v>
      </x:c>
      <x:c r="E22" s="3" t="n">
        <x:v>752</x:v>
      </x:c>
      <x:c r="F22" s="3" t="n">
        <x:v>591</x:v>
      </x:c>
      <x:c r="G22" s="3" t="n">
        <x:v>1343</x:v>
      </x:c>
      <x:c r="H22" s="3" t="n">
        <x:v>128119</x:v>
      </x:c>
      <x:c r="I22" s="3" t="n">
        <x:v>131385</x:v>
      </x:c>
      <x:c r="J22" s="3" t="n">
        <x:v>259504</x:v>
      </x:c>
      <x:c r="K22" s="2"/>
    </x:row>
    <x:row r="23" ht="24" customHeight="1">
      <x:c r="A23" s="2" t="str">
        <x:v>จังหวัดสระแก้ว</x:v>
      </x:c>
      <x:c r="B23" s="3" t="n">
        <x:v>277060</x:v>
      </x:c>
      <x:c r="C23" s="3" t="n">
        <x:v>278284</x:v>
      </x:c>
      <x:c r="D23" s="3" t="n">
        <x:v>555344</x:v>
      </x:c>
      <x:c r="E23" s="3" t="n">
        <x:v>2461</x:v>
      </x:c>
      <x:c r="F23" s="3" t="n">
        <x:v>2868</x:v>
      </x:c>
      <x:c r="G23" s="3" t="n">
        <x:v>5329</x:v>
      </x:c>
      <x:c r="H23" s="3" t="n">
        <x:v>279521</x:v>
      </x:c>
      <x:c r="I23" s="3" t="n">
        <x:v>281152</x:v>
      </x:c>
      <x:c r="J23" s="3" t="n">
        <x:v>560673</x:v>
      </x:c>
      <x:c r="K23" s="2"/>
    </x:row>
    <x:row r="24" ht="24" customHeight="1">
      <x:c r="A24" s="2" t="str">
        <x:v>จังหวัดนครราชสีมา</x:v>
      </x:c>
      <x:c r="B24" s="3" t="n">
        <x:v>1274417</x:v>
      </x:c>
      <x:c r="C24" s="3" t="n">
        <x:v>1332632</x:v>
      </x:c>
      <x:c r="D24" s="3" t="n">
        <x:v>2607049</x:v>
      </x:c>
      <x:c r="E24" s="3" t="n">
        <x:v>3245</x:v>
      </x:c>
      <x:c r="F24" s="3" t="n">
        <x:v>1997</x:v>
      </x:c>
      <x:c r="G24" s="3" t="n">
        <x:v>5242</x:v>
      </x:c>
      <x:c r="H24" s="3" t="n">
        <x:v>1277662</x:v>
      </x:c>
      <x:c r="I24" s="3" t="n">
        <x:v>1334629</x:v>
      </x:c>
      <x:c r="J24" s="3" t="n">
        <x:v>2612291</x:v>
      </x:c>
      <x:c r="K24" s="2"/>
    </x:row>
    <x:row r="25" ht="24" customHeight="1">
      <x:c r="A25" s="2" t="str">
        <x:v>จังหวัดบุรีรัมย์</x:v>
      </x:c>
      <x:c r="B25" s="3" t="n">
        <x:v>769087</x:v>
      </x:c>
      <x:c r="C25" s="3" t="n">
        <x:v>787660</x:v>
      </x:c>
      <x:c r="D25" s="3" t="n">
        <x:v>1556747</x:v>
      </x:c>
      <x:c r="E25" s="3" t="n">
        <x:v>2006</x:v>
      </x:c>
      <x:c r="F25" s="3" t="n">
        <x:v>651</x:v>
      </x:c>
      <x:c r="G25" s="3" t="n">
        <x:v>2657</x:v>
      </x:c>
      <x:c r="H25" s="3" t="n">
        <x:v>771093</x:v>
      </x:c>
      <x:c r="I25" s="3" t="n">
        <x:v>788311</x:v>
      </x:c>
      <x:c r="J25" s="3" t="n">
        <x:v>1559404</x:v>
      </x:c>
      <x:c r="K25" s="2"/>
    </x:row>
    <x:row r="26" ht="24" customHeight="1">
      <x:c r="A26" s="2" t="str">
        <x:v>จังหวัดสุรินทร์</x:v>
      </x:c>
      <x:c r="B26" s="3" t="n">
        <x:v>670119</x:v>
      </x:c>
      <x:c r="C26" s="3" t="n">
        <x:v>681766</x:v>
      </x:c>
      <x:c r="D26" s="3" t="n">
        <x:v>1351885</x:v>
      </x:c>
      <x:c r="E26" s="3" t="n">
        <x:v>1281</x:v>
      </x:c>
      <x:c r="F26" s="3" t="n">
        <x:v>566</x:v>
      </x:c>
      <x:c r="G26" s="3" t="n">
        <x:v>1847</x:v>
      </x:c>
      <x:c r="H26" s="3" t="n">
        <x:v>671400</x:v>
      </x:c>
      <x:c r="I26" s="3" t="n">
        <x:v>682332</x:v>
      </x:c>
      <x:c r="J26" s="3" t="n">
        <x:v>1353732</x:v>
      </x:c>
      <x:c r="K26" s="2"/>
    </x:row>
    <x:row r="27" ht="24" customHeight="1">
      <x:c r="A27" s="2" t="str">
        <x:v>จังหวัดศรีสะเกษ</x:v>
      </x:c>
      <x:c r="B27" s="3" t="n">
        <x:v>712915</x:v>
      </x:c>
      <x:c r="C27" s="3" t="n">
        <x:v>721834</x:v>
      </x:c>
      <x:c r="D27" s="3" t="n">
        <x:v>1434749</x:v>
      </x:c>
      <x:c r="E27" s="3" t="n">
        <x:v>907</x:v>
      </x:c>
      <x:c r="F27" s="3" t="n">
        <x:v>557</x:v>
      </x:c>
      <x:c r="G27" s="3" t="n">
        <x:v>1464</x:v>
      </x:c>
      <x:c r="H27" s="3" t="n">
        <x:v>713822</x:v>
      </x:c>
      <x:c r="I27" s="3" t="n">
        <x:v>722391</x:v>
      </x:c>
      <x:c r="J27" s="3" t="n">
        <x:v>1436213</x:v>
      </x:c>
      <x:c r="K27" s="2"/>
    </x:row>
    <x:row r="28" ht="24" customHeight="1">
      <x:c r="A28" s="2" t="str">
        <x:v>จังหวัดอุบลราชธานี</x:v>
      </x:c>
      <x:c r="B28" s="3" t="n">
        <x:v>923354</x:v>
      </x:c>
      <x:c r="C28" s="3" t="n">
        <x:v>932154</x:v>
      </x:c>
      <x:c r="D28" s="3" t="n">
        <x:v>1855508</x:v>
      </x:c>
      <x:c r="E28" s="3" t="n">
        <x:v>3868</x:v>
      </x:c>
      <x:c r="F28" s="3" t="n">
        <x:v>5352</x:v>
      </x:c>
      <x:c r="G28" s="3" t="n">
        <x:v>9220</x:v>
      </x:c>
      <x:c r="H28" s="3" t="n">
        <x:v>927222</x:v>
      </x:c>
      <x:c r="I28" s="3" t="n">
        <x:v>937506</x:v>
      </x:c>
      <x:c r="J28" s="3" t="n">
        <x:v>1864728</x:v>
      </x:c>
      <x:c r="K28" s="2"/>
    </x:row>
    <x:row r="29" ht="24" customHeight="1">
      <x:c r="A29" s="2" t="str">
        <x:v>จังหวัดยโสธร</x:v>
      </x:c>
      <x:c r="B29" s="3" t="n">
        <x:v>259279</x:v>
      </x:c>
      <x:c r="C29" s="3" t="n">
        <x:v>262858</x:v>
      </x:c>
      <x:c r="D29" s="3" t="n">
        <x:v>522137</x:v>
      </x:c>
      <x:c r="E29" s="3" t="n">
        <x:v>270</x:v>
      </x:c>
      <x:c r="F29" s="3" t="n">
        <x:v>175</x:v>
      </x:c>
      <x:c r="G29" s="3" t="n">
        <x:v>445</x:v>
      </x:c>
      <x:c r="H29" s="3" t="n">
        <x:v>259549</x:v>
      </x:c>
      <x:c r="I29" s="3" t="n">
        <x:v>263033</x:v>
      </x:c>
      <x:c r="J29" s="3" t="n">
        <x:v>522582</x:v>
      </x:c>
      <x:c r="K29" s="2"/>
    </x:row>
    <x:row r="30" ht="24" customHeight="1">
      <x:c r="A30" s="2" t="str">
        <x:v>จังหวัดชัยภูมิ</x:v>
      </x:c>
      <x:c r="B30" s="3" t="n">
        <x:v>540041</x:v>
      </x:c>
      <x:c r="C30" s="3" t="n">
        <x:v>558426</x:v>
      </x:c>
      <x:c r="D30" s="3" t="n">
        <x:v>1098467</x:v>
      </x:c>
      <x:c r="E30" s="3" t="n">
        <x:v>1095</x:v>
      </x:c>
      <x:c r="F30" s="3" t="n">
        <x:v>418</x:v>
      </x:c>
      <x:c r="G30" s="3" t="n">
        <x:v>1513</x:v>
      </x:c>
      <x:c r="H30" s="3" t="n">
        <x:v>541136</x:v>
      </x:c>
      <x:c r="I30" s="3" t="n">
        <x:v>558844</x:v>
      </x:c>
      <x:c r="J30" s="3" t="n">
        <x:v>1099980</x:v>
      </x:c>
      <x:c r="K30" s="2"/>
    </x:row>
    <x:row r="31" ht="24" customHeight="1">
      <x:c r="A31" s="2" t="str">
        <x:v>จังหวัดอำนาจเจริญ</x:v>
      </x:c>
      <x:c r="B31" s="3" t="n">
        <x:v>183442</x:v>
      </x:c>
      <x:c r="C31" s="3" t="n">
        <x:v>186258</x:v>
      </x:c>
      <x:c r="D31" s="3" t="n">
        <x:v>369700</x:v>
      </x:c>
      <x:c r="E31" s="3" t="n">
        <x:v>382</x:v>
      </x:c>
      <x:c r="F31" s="3" t="n">
        <x:v>432</x:v>
      </x:c>
      <x:c r="G31" s="3" t="n">
        <x:v>814</x:v>
      </x:c>
      <x:c r="H31" s="3" t="n">
        <x:v>183824</x:v>
      </x:c>
      <x:c r="I31" s="3" t="n">
        <x:v>186690</x:v>
      </x:c>
      <x:c r="J31" s="3" t="n">
        <x:v>370514</x:v>
      </x:c>
      <x:c r="K31" s="2"/>
    </x:row>
    <x:row r="32" ht="24" customHeight="1">
      <x:c r="A32" s="2" t="str">
        <x:v>จังหวัดบึงกาฬ</x:v>
      </x:c>
      <x:c r="B32" s="3" t="n">
        <x:v>208341</x:v>
      </x:c>
      <x:c r="C32" s="3" t="n">
        <x:v>208504</x:v>
      </x:c>
      <x:c r="D32" s="3" t="n">
        <x:v>416845</x:v>
      </x:c>
      <x:c r="E32" s="3" t="n">
        <x:v>508</x:v>
      </x:c>
      <x:c r="F32" s="3" t="n">
        <x:v>399</x:v>
      </x:c>
      <x:c r="G32" s="3" t="n">
        <x:v>907</x:v>
      </x:c>
      <x:c r="H32" s="3" t="n">
        <x:v>208849</x:v>
      </x:c>
      <x:c r="I32" s="3" t="n">
        <x:v>208903</x:v>
      </x:c>
      <x:c r="J32" s="3" t="n">
        <x:v>417752</x:v>
      </x:c>
      <x:c r="K32" s="2"/>
    </x:row>
    <x:row r="33" ht="24" customHeight="1">
      <x:c r="A33" s="2" t="str">
        <x:v>จังหวัดหนองบัวลำภู</x:v>
      </x:c>
      <x:c r="B33" s="3" t="n">
        <x:v>248649</x:v>
      </x:c>
      <x:c r="C33" s="3" t="n">
        <x:v>252442</x:v>
      </x:c>
      <x:c r="D33" s="3" t="n">
        <x:v>501091</x:v>
      </x:c>
      <x:c r="E33" s="3" t="n">
        <x:v>622</x:v>
      </x:c>
      <x:c r="F33" s="3" t="n">
        <x:v>178</x:v>
      </x:c>
      <x:c r="G33" s="3" t="n">
        <x:v>800</x:v>
      </x:c>
      <x:c r="H33" s="3" t="n">
        <x:v>249271</x:v>
      </x:c>
      <x:c r="I33" s="3" t="n">
        <x:v>252620</x:v>
      </x:c>
      <x:c r="J33" s="3" t="n">
        <x:v>501891</x:v>
      </x:c>
      <x:c r="K33" s="2"/>
    </x:row>
    <x:row r="34" ht="24" customHeight="1">
      <x:c r="A34" s="2" t="str">
        <x:v>จังหวัดขอนแก่น</x:v>
      </x:c>
      <x:c r="B34" s="3" t="n">
        <x:v>860112</x:v>
      </x:c>
      <x:c r="C34" s="3" t="n">
        <x:v>900746</x:v>
      </x:c>
      <x:c r="D34" s="3" t="n">
        <x:v>1760858</x:v>
      </x:c>
      <x:c r="E34" s="3" t="n">
        <x:v>3185</x:v>
      </x:c>
      <x:c r="F34" s="3" t="n">
        <x:v>1069</x:v>
      </x:c>
      <x:c r="G34" s="3" t="n">
        <x:v>4254</x:v>
      </x:c>
      <x:c r="H34" s="3" t="n">
        <x:v>863297</x:v>
      </x:c>
      <x:c r="I34" s="3" t="n">
        <x:v>901815</x:v>
      </x:c>
      <x:c r="J34" s="3" t="n">
        <x:v>1765112</x:v>
      </x:c>
      <x:c r="K34" s="2"/>
    </x:row>
    <x:row r="35" ht="24" customHeight="1">
      <x:c r="A35" s="2" t="str">
        <x:v>จังหวัดอุดรธานี</x:v>
      </x:c>
      <x:c r="B35" s="3" t="n">
        <x:v>755902</x:v>
      </x:c>
      <x:c r="C35" s="3" t="n">
        <x:v>781370</x:v>
      </x:c>
      <x:c r="D35" s="3" t="n">
        <x:v>1537272</x:v>
      </x:c>
      <x:c r="E35" s="3" t="n">
        <x:v>5869</x:v>
      </x:c>
      <x:c r="F35" s="3" t="n">
        <x:v>2962</x:v>
      </x:c>
      <x:c r="G35" s="3" t="n">
        <x:v>8831</x:v>
      </x:c>
      <x:c r="H35" s="3" t="n">
        <x:v>761771</x:v>
      </x:c>
      <x:c r="I35" s="3" t="n">
        <x:v>784332</x:v>
      </x:c>
      <x:c r="J35" s="3" t="n">
        <x:v>1546103</x:v>
      </x:c>
      <x:c r="K35" s="2"/>
    </x:row>
    <x:row r="36" ht="24" customHeight="1">
      <x:c r="A36" s="2" t="str">
        <x:v>จังหวัดเลย</x:v>
      </x:c>
      <x:c r="B36" s="3" t="n">
        <x:v>312325</x:v>
      </x:c>
      <x:c r="C36" s="3" t="n">
        <x:v>312792</x:v>
      </x:c>
      <x:c r="D36" s="3" t="n">
        <x:v>625117</x:v>
      </x:c>
      <x:c r="E36" s="3" t="n">
        <x:v>1567</x:v>
      </x:c>
      <x:c r="F36" s="3" t="n">
        <x:v>2370</x:v>
      </x:c>
      <x:c r="G36" s="3" t="n">
        <x:v>3937</x:v>
      </x:c>
      <x:c r="H36" s="3" t="n">
        <x:v>313892</x:v>
      </x:c>
      <x:c r="I36" s="3" t="n">
        <x:v>315162</x:v>
      </x:c>
      <x:c r="J36" s="3" t="n">
        <x:v>629054</x:v>
      </x:c>
      <x:c r="K36" s="2"/>
    </x:row>
    <x:row r="37" ht="24" customHeight="1">
      <x:c r="A37" s="2" t="str">
        <x:v>จังหวัดหนองคาย</x:v>
      </x:c>
      <x:c r="B37" s="3" t="n">
        <x:v>249464</x:v>
      </x:c>
      <x:c r="C37" s="3" t="n">
        <x:v>255488</x:v>
      </x:c>
      <x:c r="D37" s="3" t="n">
        <x:v>504952</x:v>
      </x:c>
      <x:c r="E37" s="3" t="n">
        <x:v>2480</x:v>
      </x:c>
      <x:c r="F37" s="3" t="n">
        <x:v>2617</x:v>
      </x:c>
      <x:c r="G37" s="3" t="n">
        <x:v>5097</x:v>
      </x:c>
      <x:c r="H37" s="3" t="n">
        <x:v>251944</x:v>
      </x:c>
      <x:c r="I37" s="3" t="n">
        <x:v>258105</x:v>
      </x:c>
      <x:c r="J37" s="3" t="n">
        <x:v>510049</x:v>
      </x:c>
      <x:c r="K37" s="2"/>
    </x:row>
    <x:row r="38" ht="24" customHeight="1">
      <x:c r="A38" s="2" t="str">
        <x:v>จังหวัดมหาสารคาม</x:v>
      </x:c>
      <x:c r="B38" s="3" t="n">
        <x:v>452104</x:v>
      </x:c>
      <x:c r="C38" s="3" t="n">
        <x:v>470480</x:v>
      </x:c>
      <x:c r="D38" s="3" t="n">
        <x:v>922584</x:v>
      </x:c>
      <x:c r="E38" s="3" t="n">
        <x:v>659</x:v>
      </x:c>
      <x:c r="F38" s="3" t="n">
        <x:v>286</x:v>
      </x:c>
      <x:c r="G38" s="3" t="n">
        <x:v>945</x:v>
      </x:c>
      <x:c r="H38" s="3" t="n">
        <x:v>452763</x:v>
      </x:c>
      <x:c r="I38" s="3" t="n">
        <x:v>470766</x:v>
      </x:c>
      <x:c r="J38" s="3" t="n">
        <x:v>923529</x:v>
      </x:c>
      <x:c r="K38" s="2"/>
    </x:row>
    <x:row r="39" ht="24" customHeight="1">
      <x:c r="A39" s="2" t="str">
        <x:v>จังหวัดร้อยเอ็ด</x:v>
      </x:c>
      <x:c r="B39" s="3" t="n">
        <x:v>624497</x:v>
      </x:c>
      <x:c r="C39" s="3" t="n">
        <x:v>642651</x:v>
      </x:c>
      <x:c r="D39" s="3" t="n">
        <x:v>1267148</x:v>
      </x:c>
      <x:c r="E39" s="3" t="n">
        <x:v>1039</x:v>
      </x:c>
      <x:c r="F39" s="3" t="n">
        <x:v>446</x:v>
      </x:c>
      <x:c r="G39" s="3" t="n">
        <x:v>1485</x:v>
      </x:c>
      <x:c r="H39" s="3" t="n">
        <x:v>625536</x:v>
      </x:c>
      <x:c r="I39" s="3" t="n">
        <x:v>643097</x:v>
      </x:c>
      <x:c r="J39" s="3" t="n">
        <x:v>1268633</x:v>
      </x:c>
      <x:c r="K39" s="2"/>
    </x:row>
    <x:row r="40" ht="24" customHeight="1">
      <x:c r="A40" s="2" t="str">
        <x:v>จังหวัดกาฬสินธุ์</x:v>
      </x:c>
      <x:c r="B40" s="3" t="n">
        <x:v>470353</x:v>
      </x:c>
      <x:c r="C40" s="3" t="n">
        <x:v>485438</x:v>
      </x:c>
      <x:c r="D40" s="3" t="n">
        <x:v>955791</x:v>
      </x:c>
      <x:c r="E40" s="3" t="n">
        <x:v>864</x:v>
      </x:c>
      <x:c r="F40" s="3" t="n">
        <x:v>297</x:v>
      </x:c>
      <x:c r="G40" s="3" t="n">
        <x:v>1161</x:v>
      </x:c>
      <x:c r="H40" s="3" t="n">
        <x:v>471217</x:v>
      </x:c>
      <x:c r="I40" s="3" t="n">
        <x:v>485735</x:v>
      </x:c>
      <x:c r="J40" s="3" t="n">
        <x:v>956952</x:v>
      </x:c>
      <x:c r="K40" s="2"/>
    </x:row>
    <x:row r="41" ht="24" customHeight="1">
      <x:c r="A41" s="2" t="str">
        <x:v>จังหวัดสกลนคร</x:v>
      </x:c>
      <x:c r="B41" s="3" t="n">
        <x:v>560489</x:v>
      </x:c>
      <x:c r="C41" s="3" t="n">
        <x:v>571656</x:v>
      </x:c>
      <x:c r="D41" s="3" t="n">
        <x:v>1132145</x:v>
      </x:c>
      <x:c r="E41" s="3" t="n">
        <x:v>929</x:v>
      </x:c>
      <x:c r="F41" s="3" t="n">
        <x:v>498</x:v>
      </x:c>
      <x:c r="G41" s="3" t="n">
        <x:v>1427</x:v>
      </x:c>
      <x:c r="H41" s="3" t="n">
        <x:v>561418</x:v>
      </x:c>
      <x:c r="I41" s="3" t="n">
        <x:v>572154</x:v>
      </x:c>
      <x:c r="J41" s="3" t="n">
        <x:v>1133572</x:v>
      </x:c>
      <x:c r="K41" s="2"/>
    </x:row>
    <x:row r="42" ht="24" customHeight="1">
      <x:c r="A42" s="2" t="str">
        <x:v>จังหวัดนครพนม</x:v>
      </x:c>
      <x:c r="B42" s="3" t="n">
        <x:v>351051</x:v>
      </x:c>
      <x:c r="C42" s="3" t="n">
        <x:v>355022</x:v>
      </x:c>
      <x:c r="D42" s="3" t="n">
        <x:v>706073</x:v>
      </x:c>
      <x:c r="E42" s="3" t="n">
        <x:v>927</x:v>
      </x:c>
      <x:c r="F42" s="3" t="n">
        <x:v>911</x:v>
      </x:c>
      <x:c r="G42" s="3" t="n">
        <x:v>1838</x:v>
      </x:c>
      <x:c r="H42" s="3" t="n">
        <x:v>351978</x:v>
      </x:c>
      <x:c r="I42" s="3" t="n">
        <x:v>355933</x:v>
      </x:c>
      <x:c r="J42" s="3" t="n">
        <x:v>707911</x:v>
      </x:c>
      <x:c r="K42" s="2"/>
    </x:row>
    <x:row r="43" ht="24" customHeight="1">
      <x:c r="A43" s="2" t="str">
        <x:v>จังหวัดมุกดาหาร</x:v>
      </x:c>
      <x:c r="B43" s="3" t="n">
        <x:v>172549</x:v>
      </x:c>
      <x:c r="C43" s="3" t="n">
        <x:v>173391</x:v>
      </x:c>
      <x:c r="D43" s="3" t="n">
        <x:v>345940</x:v>
      </x:c>
      <x:c r="E43" s="3" t="n">
        <x:v>1626</x:v>
      </x:c>
      <x:c r="F43" s="3" t="n">
        <x:v>1818</x:v>
      </x:c>
      <x:c r="G43" s="3" t="n">
        <x:v>3444</x:v>
      </x:c>
      <x:c r="H43" s="3" t="n">
        <x:v>174175</x:v>
      </x:c>
      <x:c r="I43" s="3" t="n">
        <x:v>175209</x:v>
      </x:c>
      <x:c r="J43" s="3" t="n">
        <x:v>349384</x:v>
      </x:c>
      <x:c r="K43" s="2"/>
    </x:row>
    <x:row r="44" ht="24" customHeight="1">
      <x:c r="A44" s="2" t="str">
        <x:v>จังหวัดเชียงใหม่</x:v>
      </x:c>
      <x:c r="B44" s="3" t="n">
        <x:v>781123</x:v>
      </x:c>
      <x:c r="C44" s="3" t="n">
        <x:v>856291</x:v>
      </x:c>
      <x:c r="D44" s="3" t="n">
        <x:v>1637414</x:v>
      </x:c>
      <x:c r="E44" s="3" t="n">
        <x:v>82417</x:v>
      </x:c>
      <x:c r="F44" s="3" t="n">
        <x:v>78335</x:v>
      </x:c>
      <x:c r="G44" s="3" t="n">
        <x:v>160752</x:v>
      </x:c>
      <x:c r="H44" s="3" t="n">
        <x:v>863540</x:v>
      </x:c>
      <x:c r="I44" s="3" t="n">
        <x:v>934626</x:v>
      </x:c>
      <x:c r="J44" s="3" t="n">
        <x:v>1798166</x:v>
      </x:c>
      <x:c r="K44" s="2"/>
    </x:row>
    <x:row r="45" ht="24" customHeight="1">
      <x:c r="A45" s="2" t="str">
        <x:v>จังหวัดลำพูน</x:v>
      </x:c>
      <x:c r="B45" s="3" t="n">
        <x:v>186631</x:v>
      </x:c>
      <x:c r="C45" s="3" t="n">
        <x:v>205007</x:v>
      </x:c>
      <x:c r="D45" s="3" t="n">
        <x:v>391638</x:v>
      </x:c>
      <x:c r="E45" s="3" t="n">
        <x:v>1683</x:v>
      </x:c>
      <x:c r="F45" s="3" t="n">
        <x:v>1482</x:v>
      </x:c>
      <x:c r="G45" s="3" t="n">
        <x:v>3165</x:v>
      </x:c>
      <x:c r="H45" s="3" t="n">
        <x:v>188314</x:v>
      </x:c>
      <x:c r="I45" s="3" t="n">
        <x:v>206489</x:v>
      </x:c>
      <x:c r="J45" s="3" t="n">
        <x:v>394803</x:v>
      </x:c>
      <x:c r="K45" s="2"/>
    </x:row>
    <x:row r="46" ht="24" customHeight="1">
      <x:c r="A46" s="2" t="str">
        <x:v>จังหวัดลำปาง</x:v>
      </x:c>
      <x:c r="B46" s="3" t="n">
        <x:v>336093</x:v>
      </x:c>
      <x:c r="C46" s="3" t="n">
        <x:v>358033</x:v>
      </x:c>
      <x:c r="D46" s="3" t="n">
        <x:v>694126</x:v>
      </x:c>
      <x:c r="E46" s="3" t="n">
        <x:v>1475</x:v>
      </x:c>
      <x:c r="F46" s="3" t="n">
        <x:v>1391</x:v>
      </x:c>
      <x:c r="G46" s="3" t="n">
        <x:v>2866</x:v>
      </x:c>
      <x:c r="H46" s="3" t="n">
        <x:v>337568</x:v>
      </x:c>
      <x:c r="I46" s="3" t="n">
        <x:v>359424</x:v>
      </x:c>
      <x:c r="J46" s="3" t="n">
        <x:v>696992</x:v>
      </x:c>
      <x:c r="K46" s="2"/>
    </x:row>
    <x:row r="47" ht="24" customHeight="1">
      <x:c r="A47" s="2" t="str">
        <x:v>จังหวัดอุตรดิตถ์</x:v>
      </x:c>
      <x:c r="B47" s="3" t="n">
        <x:v>209706</x:v>
      </x:c>
      <x:c r="C47" s="3" t="n">
        <x:v>222075</x:v>
      </x:c>
      <x:c r="D47" s="3" t="n">
        <x:v>431781</x:v>
      </x:c>
      <x:c r="E47" s="3" t="n">
        <x:v>499</x:v>
      </x:c>
      <x:c r="F47" s="3" t="n">
        <x:v>677</x:v>
      </x:c>
      <x:c r="G47" s="3" t="n">
        <x:v>1176</x:v>
      </x:c>
      <x:c r="H47" s="3" t="n">
        <x:v>210205</x:v>
      </x:c>
      <x:c r="I47" s="3" t="n">
        <x:v>222752</x:v>
      </x:c>
      <x:c r="J47" s="3" t="n">
        <x:v>432957</x:v>
      </x:c>
      <x:c r="K47" s="2"/>
    </x:row>
    <x:row r="48" ht="24" customHeight="1">
      <x:c r="A48" s="2" t="str">
        <x:v>จังหวัดแพร่</x:v>
      </x:c>
      <x:c r="B48" s="3" t="n">
        <x:v>199462</x:v>
      </x:c>
      <x:c r="C48" s="3" t="n">
        <x:v>216859</x:v>
      </x:c>
      <x:c r="D48" s="3" t="n">
        <x:v>416321</x:v>
      </x:c>
      <x:c r="E48" s="3" t="n">
        <x:v>395</x:v>
      </x:c>
      <x:c r="F48" s="3" t="n">
        <x:v>299</x:v>
      </x:c>
      <x:c r="G48" s="3" t="n">
        <x:v>694</x:v>
      </x:c>
      <x:c r="H48" s="3" t="n">
        <x:v>199857</x:v>
      </x:c>
      <x:c r="I48" s="3" t="n">
        <x:v>217158</x:v>
      </x:c>
      <x:c r="J48" s="3" t="n">
        <x:v>417015</x:v>
      </x:c>
      <x:c r="K48" s="2"/>
    </x:row>
    <x:row r="49" ht="24" customHeight="1">
      <x:c r="A49" s="2" t="str">
        <x:v>จังหวัดน่าน</x:v>
      </x:c>
      <x:c r="B49" s="3" t="n">
        <x:v>232324</x:v>
      </x:c>
      <x:c r="C49" s="3" t="n">
        <x:v>233987</x:v>
      </x:c>
      <x:c r="D49" s="3" t="n">
        <x:v>466311</x:v>
      </x:c>
      <x:c r="E49" s="3" t="n">
        <x:v>797</x:v>
      </x:c>
      <x:c r="F49" s="3" t="n">
        <x:v>1019</x:v>
      </x:c>
      <x:c r="G49" s="3" t="n">
        <x:v>1816</x:v>
      </x:c>
      <x:c r="H49" s="3" t="n">
        <x:v>233121</x:v>
      </x:c>
      <x:c r="I49" s="3" t="n">
        <x:v>235006</x:v>
      </x:c>
      <x:c r="J49" s="3" t="n">
        <x:v>468127</x:v>
      </x:c>
      <x:c r="K49" s="2"/>
    </x:row>
    <x:row r="50" ht="24" customHeight="1">
      <x:c r="A50" s="2" t="str">
        <x:v>จังหวัดพะเยา</x:v>
      </x:c>
      <x:c r="B50" s="3" t="n">
        <x:v>217156</x:v>
      </x:c>
      <x:c r="C50" s="3" t="n">
        <x:v>231628</x:v>
      </x:c>
      <x:c r="D50" s="3" t="n">
        <x:v>448784</x:v>
      </x:c>
      <x:c r="E50" s="3" t="n">
        <x:v>1389</x:v>
      </x:c>
      <x:c r="F50" s="3" t="n">
        <x:v>1500</x:v>
      </x:c>
      <x:c r="G50" s="3" t="n">
        <x:v>2889</x:v>
      </x:c>
      <x:c r="H50" s="3" t="n">
        <x:v>218545</x:v>
      </x:c>
      <x:c r="I50" s="3" t="n">
        <x:v>233128</x:v>
      </x:c>
      <x:c r="J50" s="3" t="n">
        <x:v>451673</x:v>
      </x:c>
      <x:c r="K50" s="2"/>
    </x:row>
    <x:row r="51" ht="24" customHeight="1">
      <x:c r="A51" s="2" t="str">
        <x:v>จังหวัดเชียงราย</x:v>
      </x:c>
      <x:c r="B51" s="3" t="n">
        <x:v>564489</x:v>
      </x:c>
      <x:c r="C51" s="3" t="n">
        <x:v>596644</x:v>
      </x:c>
      <x:c r="D51" s="3" t="n">
        <x:v>1161133</x:v>
      </x:c>
      <x:c r="E51" s="3" t="n">
        <x:v>62655</x:v>
      </x:c>
      <x:c r="F51" s="3" t="n">
        <x:v>71750</x:v>
      </x:c>
      <x:c r="G51" s="3" t="n">
        <x:v>134405</x:v>
      </x:c>
      <x:c r="H51" s="3" t="n">
        <x:v>627144</x:v>
      </x:c>
      <x:c r="I51" s="3" t="n">
        <x:v>668394</x:v>
      </x:c>
      <x:c r="J51" s="3" t="n">
        <x:v>1295538</x:v>
      </x:c>
      <x:c r="K51" s="2"/>
    </x:row>
    <x:row r="52" ht="24" customHeight="1">
      <x:c r="A52" s="2" t="str">
        <x:v>จังหวัดแม่ฮ่องสอน</x:v>
      </x:c>
      <x:c r="B52" s="3" t="n">
        <x:v>122666</x:v>
      </x:c>
      <x:c r="C52" s="3" t="n">
        <x:v>120574</x:v>
      </x:c>
      <x:c r="D52" s="3" t="n">
        <x:v>243240</x:v>
      </x:c>
      <x:c r="E52" s="3" t="n">
        <x:v>23219</x:v>
      </x:c>
      <x:c r="F52" s="3" t="n">
        <x:v>22313</x:v>
      </x:c>
      <x:c r="G52" s="3" t="n">
        <x:v>45532</x:v>
      </x:c>
      <x:c r="H52" s="3" t="n">
        <x:v>145885</x:v>
      </x:c>
      <x:c r="I52" s="3" t="n">
        <x:v>142887</x:v>
      </x:c>
      <x:c r="J52" s="3" t="n">
        <x:v>288772</x:v>
      </x:c>
      <x:c r="K52" s="2"/>
    </x:row>
    <x:row r="53" ht="24" customHeight="1">
      <x:c r="A53" s="2" t="str">
        <x:v>จังหวัดนครสวรรค์</x:v>
      </x:c>
      <x:c r="B53" s="3" t="n">
        <x:v>488280</x:v>
      </x:c>
      <x:c r="C53" s="3" t="n">
        <x:v>517442</x:v>
      </x:c>
      <x:c r="D53" s="3" t="n">
        <x:v>1005722</x:v>
      </x:c>
      <x:c r="E53" s="3" t="n">
        <x:v>1203</x:v>
      </x:c>
      <x:c r="F53" s="3" t="n">
        <x:v>791</x:v>
      </x:c>
      <x:c r="G53" s="3" t="n">
        <x:v>1994</x:v>
      </x:c>
      <x:c r="H53" s="3" t="n">
        <x:v>489483</x:v>
      </x:c>
      <x:c r="I53" s="3" t="n">
        <x:v>518233</x:v>
      </x:c>
      <x:c r="J53" s="3" t="n">
        <x:v>1007716</x:v>
      </x:c>
      <x:c r="K53" s="2"/>
    </x:row>
    <x:row r="54" ht="24" customHeight="1">
      <x:c r="A54" s="2" t="str">
        <x:v>จังหวัดอุทัยธานี</x:v>
      </x:c>
      <x:c r="B54" s="3" t="n">
        <x:v>155082</x:v>
      </x:c>
      <x:c r="C54" s="3" t="n">
        <x:v>163165</x:v>
      </x:c>
      <x:c r="D54" s="3" t="n">
        <x:v>318247</x:v>
      </x:c>
      <x:c r="E54" s="3" t="n">
        <x:v>261</x:v>
      </x:c>
      <x:c r="F54" s="3" t="n">
        <x:v>243</x:v>
      </x:c>
      <x:c r="G54" s="3" t="n">
        <x:v>504</x:v>
      </x:c>
      <x:c r="H54" s="3" t="n">
        <x:v>155343</x:v>
      </x:c>
      <x:c r="I54" s="3" t="n">
        <x:v>163408</x:v>
      </x:c>
      <x:c r="J54" s="3" t="n">
        <x:v>318751</x:v>
      </x:c>
      <x:c r="K54" s="2"/>
    </x:row>
    <x:row r="55" ht="24" customHeight="1">
      <x:c r="A55" s="2" t="str">
        <x:v>จังหวัดกำแพงเพชร</x:v>
      </x:c>
      <x:c r="B55" s="3" t="n">
        <x:v>341885</x:v>
      </x:c>
      <x:c r="C55" s="3" t="n">
        <x:v>353163</x:v>
      </x:c>
      <x:c r="D55" s="3" t="n">
        <x:v>695048</x:v>
      </x:c>
      <x:c r="E55" s="3" t="n">
        <x:v>851</x:v>
      </x:c>
      <x:c r="F55" s="3" t="n">
        <x:v>712</x:v>
      </x:c>
      <x:c r="G55" s="3" t="n">
        <x:v>1563</x:v>
      </x:c>
      <x:c r="H55" s="3" t="n">
        <x:v>342736</x:v>
      </x:c>
      <x:c r="I55" s="3" t="n">
        <x:v>353875</x:v>
      </x:c>
      <x:c r="J55" s="3" t="n">
        <x:v>696611</x:v>
      </x:c>
      <x:c r="K55" s="2"/>
    </x:row>
    <x:row r="56" ht="24" customHeight="1">
      <x:c r="A56" s="2" t="str">
        <x:v>จังหวัดตาก</x:v>
      </x:c>
      <x:c r="B56" s="3" t="n">
        <x:v>276448</x:v>
      </x:c>
      <x:c r="C56" s="3" t="n">
        <x:v>276738</x:v>
      </x:c>
      <x:c r="D56" s="3" t="n">
        <x:v>553186</x:v>
      </x:c>
      <x:c r="E56" s="3" t="n">
        <x:v>79566</x:v>
      </x:c>
      <x:c r="F56" s="3" t="n">
        <x:v>72112</x:v>
      </x:c>
      <x:c r="G56" s="3" t="n">
        <x:v>151678</x:v>
      </x:c>
      <x:c r="H56" s="3" t="n">
        <x:v>356014</x:v>
      </x:c>
      <x:c r="I56" s="3" t="n">
        <x:v>348850</x:v>
      </x:c>
      <x:c r="J56" s="3" t="n">
        <x:v>704864</x:v>
      </x:c>
      <x:c r="K56" s="2"/>
    </x:row>
    <x:row r="57" ht="24" customHeight="1">
      <x:c r="A57" s="2" t="str">
        <x:v>จังหวัดสุโขทัย</x:v>
      </x:c>
      <x:c r="B57" s="3" t="n">
        <x:v>274209</x:v>
      </x:c>
      <x:c r="C57" s="3" t="n">
        <x:v>293840</x:v>
      </x:c>
      <x:c r="D57" s="3" t="n">
        <x:v>568049</x:v>
      </x:c>
      <x:c r="E57" s="3" t="n">
        <x:v>509</x:v>
      </x:c>
      <x:c r="F57" s="3" t="n">
        <x:v>320</x:v>
      </x:c>
      <x:c r="G57" s="3" t="n">
        <x:v>829</x:v>
      </x:c>
      <x:c r="H57" s="3" t="n">
        <x:v>274718</x:v>
      </x:c>
      <x:c r="I57" s="3" t="n">
        <x:v>294160</x:v>
      </x:c>
      <x:c r="J57" s="3" t="n">
        <x:v>568878</x:v>
      </x:c>
      <x:c r="K57" s="2"/>
    </x:row>
    <x:row r="58" ht="24" customHeight="1">
      <x:c r="A58" s="2" t="str">
        <x:v>จังหวัดพิษณุโลก</x:v>
      </x:c>
      <x:c r="B58" s="3" t="n">
        <x:v>405771</x:v>
      </x:c>
      <x:c r="C58" s="3" t="n">
        <x:v>427430</x:v>
      </x:c>
      <x:c r="D58" s="3" t="n">
        <x:v>833201</x:v>
      </x:c>
      <x:c r="E58" s="3" t="n">
        <x:v>1159</x:v>
      </x:c>
      <x:c r="F58" s="3" t="n">
        <x:v>747</x:v>
      </x:c>
      <x:c r="G58" s="3" t="n">
        <x:v>1906</x:v>
      </x:c>
      <x:c r="H58" s="3" t="n">
        <x:v>406930</x:v>
      </x:c>
      <x:c r="I58" s="3" t="n">
        <x:v>428177</x:v>
      </x:c>
      <x:c r="J58" s="3" t="n">
        <x:v>835107</x:v>
      </x:c>
      <x:c r="K58" s="2"/>
    </x:row>
    <x:row r="59" ht="24" customHeight="1">
      <x:c r="A59" s="2" t="str">
        <x:v>จังหวัดพิจิตร</x:v>
      </x:c>
      <x:c r="B59" s="3" t="n">
        <x:v>248949</x:v>
      </x:c>
      <x:c r="C59" s="3" t="n">
        <x:v>263136</x:v>
      </x:c>
      <x:c r="D59" s="3" t="n">
        <x:v>512085</x:v>
      </x:c>
      <x:c r="E59" s="3" t="n">
        <x:v>383</x:v>
      </x:c>
      <x:c r="F59" s="3" t="n">
        <x:v>286</x:v>
      </x:c>
      <x:c r="G59" s="3" t="n">
        <x:v>669</x:v>
      </x:c>
      <x:c r="H59" s="3" t="n">
        <x:v>249332</x:v>
      </x:c>
      <x:c r="I59" s="3" t="n">
        <x:v>263422</x:v>
      </x:c>
      <x:c r="J59" s="3" t="n">
        <x:v>512754</x:v>
      </x:c>
      <x:c r="K59" s="2"/>
    </x:row>
    <x:row r="60" ht="24" customHeight="1">
      <x:c r="A60" s="2" t="str">
        <x:v>จังหวัดเพชรบูรณ์</x:v>
      </x:c>
      <x:c r="B60" s="3" t="n">
        <x:v>466737</x:v>
      </x:c>
      <x:c r="C60" s="3" t="n">
        <x:v>484881</x:v>
      </x:c>
      <x:c r="D60" s="3" t="n">
        <x:v>951618</x:v>
      </x:c>
      <x:c r="E60" s="3" t="n">
        <x:v>1372</x:v>
      </x:c>
      <x:c r="F60" s="3" t="n">
        <x:v>749</x:v>
      </x:c>
      <x:c r="G60" s="3" t="n">
        <x:v>2121</x:v>
      </x:c>
      <x:c r="H60" s="3" t="n">
        <x:v>468109</x:v>
      </x:c>
      <x:c r="I60" s="3" t="n">
        <x:v>485630</x:v>
      </x:c>
      <x:c r="J60" s="3" t="n">
        <x:v>953739</x:v>
      </x:c>
      <x:c r="K60" s="2"/>
    </x:row>
    <x:row r="61" ht="24" customHeight="1">
      <x:c r="A61" s="2" t="str">
        <x:v>จังหวัดราชบุรี</x:v>
      </x:c>
      <x:c r="B61" s="3" t="n">
        <x:v>403371</x:v>
      </x:c>
      <x:c r="C61" s="3" t="n">
        <x:v>431977</x:v>
      </x:c>
      <x:c r="D61" s="3" t="n">
        <x:v>835348</x:v>
      </x:c>
      <x:c r="E61" s="3" t="n">
        <x:v>13997</x:v>
      </x:c>
      <x:c r="F61" s="3" t="n">
        <x:v>12195</x:v>
      </x:c>
      <x:c r="G61" s="3" t="n">
        <x:v>26192</x:v>
      </x:c>
      <x:c r="H61" s="3" t="n">
        <x:v>417368</x:v>
      </x:c>
      <x:c r="I61" s="3" t="n">
        <x:v>444172</x:v>
      </x:c>
      <x:c r="J61" s="3" t="n">
        <x:v>861540</x:v>
      </x:c>
      <x:c r="K61" s="2"/>
    </x:row>
    <x:row r="62" ht="24" customHeight="1">
      <x:c r="A62" s="2" t="str">
        <x:v>จังหวัดกาญจนบุรี</x:v>
      </x:c>
      <x:c r="B62" s="3" t="n">
        <x:v>406030</x:v>
      </x:c>
      <x:c r="C62" s="3" t="n">
        <x:v>412650</x:v>
      </x:c>
      <x:c r="D62" s="3" t="n">
        <x:v>818680</x:v>
      </x:c>
      <x:c r="E62" s="3" t="n">
        <x:v>41248</x:v>
      </x:c>
      <x:c r="F62" s="3" t="n">
        <x:v>36728</x:v>
      </x:c>
      <x:c r="G62" s="3" t="n">
        <x:v>77976</x:v>
      </x:c>
      <x:c r="H62" s="3" t="n">
        <x:v>447278</x:v>
      </x:c>
      <x:c r="I62" s="3" t="n">
        <x:v>449378</x:v>
      </x:c>
      <x:c r="J62" s="3" t="n">
        <x:v>896656</x:v>
      </x:c>
      <x:c r="K62" s="2"/>
    </x:row>
    <x:row r="63" ht="24" customHeight="1">
      <x:c r="A63" s="2" t="str">
        <x:v>จังหวัดสุพรรณบุรี</x:v>
      </x:c>
      <x:c r="B63" s="3" t="n">
        <x:v>391519</x:v>
      </x:c>
      <x:c r="C63" s="3" t="n">
        <x:v>423166</x:v>
      </x:c>
      <x:c r="D63" s="3" t="n">
        <x:v>814685</x:v>
      </x:c>
      <x:c r="E63" s="3" t="n">
        <x:v>1492</x:v>
      </x:c>
      <x:c r="F63" s="3" t="n">
        <x:v>1260</x:v>
      </x:c>
      <x:c r="G63" s="3" t="n">
        <x:v>2752</x:v>
      </x:c>
      <x:c r="H63" s="3" t="n">
        <x:v>393011</x:v>
      </x:c>
      <x:c r="I63" s="3" t="n">
        <x:v>424426</x:v>
      </x:c>
      <x:c r="J63" s="3" t="n">
        <x:v>817437</x:v>
      </x:c>
      <x:c r="K63" s="2"/>
    </x:row>
    <x:row r="64" ht="24" customHeight="1">
      <x:c r="A64" s="2" t="str">
        <x:v>จังหวัดนครปฐม</x:v>
      </x:c>
      <x:c r="B64" s="3" t="n">
        <x:v>437666</x:v>
      </x:c>
      <x:c r="C64" s="3" t="n">
        <x:v>477228</x:v>
      </x:c>
      <x:c r="D64" s="3" t="n">
        <x:v>914894</x:v>
      </x:c>
      <x:c r="E64" s="3" t="n">
        <x:v>5835</x:v>
      </x:c>
      <x:c r="F64" s="3" t="n">
        <x:v>5515</x:v>
      </x:c>
      <x:c r="G64" s="3" t="n">
        <x:v>11350</x:v>
      </x:c>
      <x:c r="H64" s="3" t="n">
        <x:v>443501</x:v>
      </x:c>
      <x:c r="I64" s="3" t="n">
        <x:v>482743</x:v>
      </x:c>
      <x:c r="J64" s="3" t="n">
        <x:v>926244</x:v>
      </x:c>
      <x:c r="K64" s="2"/>
    </x:row>
    <x:row r="65" ht="24" customHeight="1">
      <x:c r="A65" s="2" t="str">
        <x:v>จังหวัดสมุทรสาคร</x:v>
      </x:c>
      <x:c r="B65" s="3" t="n">
        <x:v>271189</x:v>
      </x:c>
      <x:c r="C65" s="3" t="n">
        <x:v>296969</x:v>
      </x:c>
      <x:c r="D65" s="3" t="n">
        <x:v>568158</x:v>
      </x:c>
      <x:c r="E65" s="3" t="n">
        <x:v>9859</x:v>
      </x:c>
      <x:c r="F65" s="3" t="n">
        <x:v>8902</x:v>
      </x:c>
      <x:c r="G65" s="3" t="n">
        <x:v>18761</x:v>
      </x:c>
      <x:c r="H65" s="3" t="n">
        <x:v>281048</x:v>
      </x:c>
      <x:c r="I65" s="3" t="n">
        <x:v>305871</x:v>
      </x:c>
      <x:c r="J65" s="3" t="n">
        <x:v>586919</x:v>
      </x:c>
      <x:c r="K65" s="2"/>
    </x:row>
    <x:row r="66" ht="24" customHeight="1">
      <x:c r="A66" s="2" t="str">
        <x:v>จังหวัดสมุทรสงคราม</x:v>
      </x:c>
      <x:c r="B66" s="3" t="n">
        <x:v>87451</x:v>
      </x:c>
      <x:c r="C66" s="3" t="n">
        <x:v>96341</x:v>
      </x:c>
      <x:c r="D66" s="3" t="n">
        <x:v>183792</x:v>
      </x:c>
      <x:c r="E66" s="3" t="n">
        <x:v>675</x:v>
      </x:c>
      <x:c r="F66" s="3" t="n">
        <x:v>658</x:v>
      </x:c>
      <x:c r="G66" s="3" t="n">
        <x:v>1333</x:v>
      </x:c>
      <x:c r="H66" s="3" t="n">
        <x:v>88126</x:v>
      </x:c>
      <x:c r="I66" s="3" t="n">
        <x:v>96999</x:v>
      </x:c>
      <x:c r="J66" s="3" t="n">
        <x:v>185125</x:v>
      </x:c>
      <x:c r="K66" s="2"/>
    </x:row>
    <x:row r="67" ht="24" customHeight="1">
      <x:c r="A67" s="2" t="str">
        <x:v>จังหวัดเพชรบุรี</x:v>
      </x:c>
      <x:c r="B67" s="3" t="n">
        <x:v>230140</x:v>
      </x:c>
      <x:c r="C67" s="3" t="n">
        <x:v>249429</x:v>
      </x:c>
      <x:c r="D67" s="3" t="n">
        <x:v>479569</x:v>
      </x:c>
      <x:c r="E67" s="3" t="n">
        <x:v>2691</x:v>
      </x:c>
      <x:c r="F67" s="3" t="n">
        <x:v>1752</x:v>
      </x:c>
      <x:c r="G67" s="3" t="n">
        <x:v>4443</x:v>
      </x:c>
      <x:c r="H67" s="3" t="n">
        <x:v>232831</x:v>
      </x:c>
      <x:c r="I67" s="3" t="n">
        <x:v>251181</x:v>
      </x:c>
      <x:c r="J67" s="3" t="n">
        <x:v>484012</x:v>
      </x:c>
      <x:c r="K67" s="2"/>
    </x:row>
    <x:row r="68" ht="24" customHeight="1">
      <x:c r="A68" s="2" t="str">
        <x:v>จังหวัดประจวบคีรีขันธ์</x:v>
      </x:c>
      <x:c r="B68" s="3" t="n">
        <x:v>260890</x:v>
      </x:c>
      <x:c r="C68" s="3" t="n">
        <x:v>277305</x:v>
      </x:c>
      <x:c r="D68" s="3" t="n">
        <x:v>538195</x:v>
      </x:c>
      <x:c r="E68" s="3" t="n">
        <x:v>8515</x:v>
      </x:c>
      <x:c r="F68" s="3" t="n">
        <x:v>4784</x:v>
      </x:c>
      <x:c r="G68" s="3" t="n">
        <x:v>13299</x:v>
      </x:c>
      <x:c r="H68" s="3" t="n">
        <x:v>269405</x:v>
      </x:c>
      <x:c r="I68" s="3" t="n">
        <x:v>282089</x:v>
      </x:c>
      <x:c r="J68" s="3" t="n">
        <x:v>551494</x:v>
      </x:c>
      <x:c r="K68" s="2"/>
    </x:row>
    <x:row r="69" ht="24" customHeight="1">
      <x:c r="A69" s="2" t="str">
        <x:v>จังหวัดนครศรีธรรมราช</x:v>
      </x:c>
      <x:c r="B69" s="3" t="n">
        <x:v>753017</x:v>
      </x:c>
      <x:c r="C69" s="3" t="n">
        <x:v>774030</x:v>
      </x:c>
      <x:c r="D69" s="3" t="n">
        <x:v>1527047</x:v>
      </x:c>
      <x:c r="E69" s="3" t="n">
        <x:v>1607</x:v>
      </x:c>
      <x:c r="F69" s="3" t="n">
        <x:v>1240</x:v>
      </x:c>
      <x:c r="G69" s="3" t="n">
        <x:v>2847</x:v>
      </x:c>
      <x:c r="H69" s="3" t="n">
        <x:v>754624</x:v>
      </x:c>
      <x:c r="I69" s="3" t="n">
        <x:v>775270</x:v>
      </x:c>
      <x:c r="J69" s="3" t="n">
        <x:v>1529894</x:v>
      </x:c>
      <x:c r="K69" s="2"/>
    </x:row>
    <x:row r="70" ht="24" customHeight="1">
      <x:c r="A70" s="2" t="str">
        <x:v>จังหวัดกระบี่</x:v>
      </x:c>
      <x:c r="B70" s="3" t="n">
        <x:v>239597</x:v>
      </x:c>
      <x:c r="C70" s="3" t="n">
        <x:v>243232</x:v>
      </x:c>
      <x:c r="D70" s="3" t="n">
        <x:v>482829</x:v>
      </x:c>
      <x:c r="E70" s="3" t="n">
        <x:v>1196</x:v>
      </x:c>
      <x:c r="F70" s="3" t="n">
        <x:v>881</x:v>
      </x:c>
      <x:c r="G70" s="3" t="n">
        <x:v>2077</x:v>
      </x:c>
      <x:c r="H70" s="3" t="n">
        <x:v>240793</x:v>
      </x:c>
      <x:c r="I70" s="3" t="n">
        <x:v>244113</x:v>
      </x:c>
      <x:c r="J70" s="3" t="n">
        <x:v>484906</x:v>
      </x:c>
      <x:c r="K70" s="2"/>
    </x:row>
    <x:row r="71" ht="24" customHeight="1">
      <x:c r="A71" s="2" t="str">
        <x:v>จังหวัดพังงา</x:v>
      </x:c>
      <x:c r="B71" s="3" t="n">
        <x:v>130759</x:v>
      </x:c>
      <x:c r="C71" s="3" t="n">
        <x:v>131597</x:v>
      </x:c>
      <x:c r="D71" s="3" t="n">
        <x:v>262356</x:v>
      </x:c>
      <x:c r="E71" s="3" t="n">
        <x:v>1721</x:v>
      </x:c>
      <x:c r="F71" s="3" t="n">
        <x:v>1486</x:v>
      </x:c>
      <x:c r="G71" s="3" t="n">
        <x:v>3207</x:v>
      </x:c>
      <x:c r="H71" s="3" t="n">
        <x:v>132480</x:v>
      </x:c>
      <x:c r="I71" s="3" t="n">
        <x:v>133083</x:v>
      </x:c>
      <x:c r="J71" s="3" t="n">
        <x:v>265563</x:v>
      </x:c>
      <x:c r="K71" s="2"/>
    </x:row>
    <x:row r="72" ht="24" customHeight="1">
      <x:c r="A72" s="2" t="str">
        <x:v>จังหวัดภูเก็ต</x:v>
      </x:c>
      <x:c r="B72" s="3" t="n">
        <x:v>197725</x:v>
      </x:c>
      <x:c r="C72" s="3" t="n">
        <x:v>225878</x:v>
      </x:c>
      <x:c r="D72" s="3" t="n">
        <x:v>423603</x:v>
      </x:c>
      <x:c r="E72" s="3" t="n">
        <x:v>5595</x:v>
      </x:c>
      <x:c r="F72" s="3" t="n">
        <x:v>3705</x:v>
      </x:c>
      <x:c r="G72" s="3" t="n">
        <x:v>9300</x:v>
      </x:c>
      <x:c r="H72" s="3" t="n">
        <x:v>203320</x:v>
      </x:c>
      <x:c r="I72" s="3" t="n">
        <x:v>229583</x:v>
      </x:c>
      <x:c r="J72" s="3" t="n">
        <x:v>432903</x:v>
      </x:c>
      <x:c r="K72" s="2"/>
    </x:row>
    <x:row r="73" ht="24" customHeight="1">
      <x:c r="A73" s="2" t="str">
        <x:v>จังหวัดสุราษฎร์ธานี</x:v>
      </x:c>
      <x:c r="B73" s="3" t="n">
        <x:v>522521</x:v>
      </x:c>
      <x:c r="C73" s="3" t="n">
        <x:v>542923</x:v>
      </x:c>
      <x:c r="D73" s="3" t="n">
        <x:v>1065444</x:v>
      </x:c>
      <x:c r="E73" s="3" t="n">
        <x:v>6222</x:v>
      </x:c>
      <x:c r="F73" s="3" t="n">
        <x:v>4244</x:v>
      </x:c>
      <x:c r="G73" s="3" t="n">
        <x:v>10466</x:v>
      </x:c>
      <x:c r="H73" s="3" t="n">
        <x:v>528743</x:v>
      </x:c>
      <x:c r="I73" s="3" t="n">
        <x:v>547167</x:v>
      </x:c>
      <x:c r="J73" s="3" t="n">
        <x:v>1075910</x:v>
      </x:c>
      <x:c r="K73" s="2"/>
    </x:row>
    <x:row r="74" ht="24" customHeight="1">
      <x:c r="A74" s="2" t="str">
        <x:v>จังหวัดระนอง</x:v>
      </x:c>
      <x:c r="B74" s="3" t="n">
        <x:v>90216</x:v>
      </x:c>
      <x:c r="C74" s="3" t="n">
        <x:v>89879</x:v>
      </x:c>
      <x:c r="D74" s="3" t="n">
        <x:v>180095</x:v>
      </x:c>
      <x:c r="E74" s="3" t="n">
        <x:v>6364</x:v>
      </x:c>
      <x:c r="F74" s="3" t="n">
        <x:v>5890</x:v>
      </x:c>
      <x:c r="G74" s="3" t="n">
        <x:v>12254</x:v>
      </x:c>
      <x:c r="H74" s="3" t="n">
        <x:v>96580</x:v>
      </x:c>
      <x:c r="I74" s="3" t="n">
        <x:v>95769</x:v>
      </x:c>
      <x:c r="J74" s="3" t="n">
        <x:v>192349</x:v>
      </x:c>
      <x:c r="K74" s="2"/>
    </x:row>
    <x:row r="75" ht="24" customHeight="1">
      <x:c r="A75" s="2" t="str">
        <x:v>จังหวัดชุมพร</x:v>
      </x:c>
      <x:c r="B75" s="3" t="n">
        <x:v>247602</x:v>
      </x:c>
      <x:c r="C75" s="3" t="n">
        <x:v>255648</x:v>
      </x:c>
      <x:c r="D75" s="3" t="n">
        <x:v>503250</x:v>
      </x:c>
      <x:c r="E75" s="3" t="n">
        <x:v>1796</x:v>
      </x:c>
      <x:c r="F75" s="3" t="n">
        <x:v>1643</x:v>
      </x:c>
      <x:c r="G75" s="3" t="n">
        <x:v>3439</x:v>
      </x:c>
      <x:c r="H75" s="3" t="n">
        <x:v>249398</x:v>
      </x:c>
      <x:c r="I75" s="3" t="n">
        <x:v>257291</x:v>
      </x:c>
      <x:c r="J75" s="3" t="n">
        <x:v>506689</x:v>
      </x:c>
      <x:c r="K75" s="2"/>
    </x:row>
    <x:row r="76" ht="24" customHeight="1">
      <x:c r="A76" s="2" t="str">
        <x:v>จังหวัดสงขลา</x:v>
      </x:c>
      <x:c r="B76" s="3" t="n">
        <x:v>690152</x:v>
      </x:c>
      <x:c r="C76" s="3" t="n">
        <x:v>732044</x:v>
      </x:c>
      <x:c r="D76" s="3" t="n">
        <x:v>1422196</x:v>
      </x:c>
      <x:c r="E76" s="3" t="n">
        <x:v>3693</x:v>
      </x:c>
      <x:c r="F76" s="3" t="n">
        <x:v>3005</x:v>
      </x:c>
      <x:c r="G76" s="3" t="n">
        <x:v>6698</x:v>
      </x:c>
      <x:c r="H76" s="3" t="n">
        <x:v>693845</x:v>
      </x:c>
      <x:c r="I76" s="3" t="n">
        <x:v>735049</x:v>
      </x:c>
      <x:c r="J76" s="3" t="n">
        <x:v>1428894</x:v>
      </x:c>
      <x:c r="K76" s="2"/>
    </x:row>
    <x:row r="77" ht="24" customHeight="1">
      <x:c r="A77" s="2" t="str">
        <x:v>จังหวัดสตูล</x:v>
      </x:c>
      <x:c r="B77" s="3" t="n">
        <x:v>161092</x:v>
      </x:c>
      <x:c r="C77" s="3" t="n">
        <x:v>162950</x:v>
      </x:c>
      <x:c r="D77" s="3" t="n">
        <x:v>324042</x:v>
      </x:c>
      <x:c r="E77" s="3" t="n">
        <x:v>256</x:v>
      </x:c>
      <x:c r="F77" s="3" t="n">
        <x:v>190</x:v>
      </x:c>
      <x:c r="G77" s="3" t="n">
        <x:v>446</x:v>
      </x:c>
      <x:c r="H77" s="3" t="n">
        <x:v>161348</x:v>
      </x:c>
      <x:c r="I77" s="3" t="n">
        <x:v>163140</x:v>
      </x:c>
      <x:c r="J77" s="3" t="n">
        <x:v>324488</x:v>
      </x:c>
      <x:c r="K77" s="2"/>
    </x:row>
    <x:row r="78" ht="24" customHeight="1">
      <x:c r="A78" s="2" t="str">
        <x:v>จังหวัดตรัง</x:v>
      </x:c>
      <x:c r="B78" s="3" t="n">
        <x:v>308343</x:v>
      </x:c>
      <x:c r="C78" s="3" t="n">
        <x:v>323574</x:v>
      </x:c>
      <x:c r="D78" s="3" t="n">
        <x:v>631917</x:v>
      </x:c>
      <x:c r="E78" s="3" t="n">
        <x:v>699</x:v>
      </x:c>
      <x:c r="F78" s="3" t="n">
        <x:v>580</x:v>
      </x:c>
      <x:c r="G78" s="3" t="n">
        <x:v>1279</x:v>
      </x:c>
      <x:c r="H78" s="3" t="n">
        <x:v>309042</x:v>
      </x:c>
      <x:c r="I78" s="3" t="n">
        <x:v>324154</x:v>
      </x:c>
      <x:c r="J78" s="3" t="n">
        <x:v>633196</x:v>
      </x:c>
      <x:c r="K78" s="2"/>
    </x:row>
    <x:row r="79" ht="24" customHeight="1">
      <x:c r="A79" s="2" t="str">
        <x:v>จังหวัดพัทลุง</x:v>
      </x:c>
      <x:c r="B79" s="3" t="n">
        <x:v>251370</x:v>
      </x:c>
      <x:c r="C79" s="3" t="n">
        <x:v>266181</x:v>
      </x:c>
      <x:c r="D79" s="3" t="n">
        <x:v>517551</x:v>
      </x:c>
      <x:c r="E79" s="3" t="n">
        <x:v>200</x:v>
      </x:c>
      <x:c r="F79" s="3" t="n">
        <x:v>135</x:v>
      </x:c>
      <x:c r="G79" s="3" t="n">
        <x:v>335</x:v>
      </x:c>
      <x:c r="H79" s="3" t="n">
        <x:v>251570</x:v>
      </x:c>
      <x:c r="I79" s="3" t="n">
        <x:v>266316</x:v>
      </x:c>
      <x:c r="J79" s="3" t="n">
        <x:v>517886</x:v>
      </x:c>
      <x:c r="K79" s="2"/>
    </x:row>
    <x:row r="80" ht="24" customHeight="1">
      <x:c r="A80" s="2" t="str">
        <x:v>จังหวัดปัตตานี</x:v>
      </x:c>
      <x:c r="B80" s="3" t="n">
        <x:v>368045</x:v>
      </x:c>
      <x:c r="C80" s="3" t="n">
        <x:v>376014</x:v>
      </x:c>
      <x:c r="D80" s="3" t="n">
        <x:v>744059</x:v>
      </x:c>
      <x:c r="E80" s="3" t="n">
        <x:v>711</x:v>
      </x:c>
      <x:c r="F80" s="3" t="n">
        <x:v>652</x:v>
      </x:c>
      <x:c r="G80" s="3" t="n">
        <x:v>1363</x:v>
      </x:c>
      <x:c r="H80" s="3" t="n">
        <x:v>368756</x:v>
      </x:c>
      <x:c r="I80" s="3" t="n">
        <x:v>376666</x:v>
      </x:c>
      <x:c r="J80" s="3" t="n">
        <x:v>745422</x:v>
      </x:c>
      <x:c r="K80" s="2"/>
    </x:row>
    <x:row r="81" ht="24" customHeight="1">
      <x:c r="A81" s="2" t="str">
        <x:v>จังหวัดยะลา</x:v>
      </x:c>
      <x:c r="B81" s="3" t="n">
        <x:v>275765</x:v>
      </x:c>
      <x:c r="C81" s="3" t="n">
        <x:v>278925</x:v>
      </x:c>
      <x:c r="D81" s="3" t="n">
        <x:v>554690</x:v>
      </x:c>
      <x:c r="E81" s="3" t="n">
        <x:v>799</x:v>
      </x:c>
      <x:c r="F81" s="3" t="n">
        <x:v>820</x:v>
      </x:c>
      <x:c r="G81" s="3" t="n">
        <x:v>1619</x:v>
      </x:c>
      <x:c r="H81" s="3" t="n">
        <x:v>276564</x:v>
      </x:c>
      <x:c r="I81" s="3" t="n">
        <x:v>279745</x:v>
      </x:c>
      <x:c r="J81" s="3" t="n">
        <x:v>556309</x:v>
      </x:c>
      <x:c r="K81" s="2"/>
    </x:row>
    <x:row r="82" ht="24" customHeight="1">
      <x:c r="A82" s="2" t="str">
        <x:v>จังหวัดนราธิวาส</x:v>
      </x:c>
      <x:c r="B82" s="3" t="n">
        <x:v>409211</x:v>
      </x:c>
      <x:c r="C82" s="3" t="n">
        <x:v>418212</x:v>
      </x:c>
      <x:c r="D82" s="3" t="n">
        <x:v>827423</x:v>
      </x:c>
      <x:c r="E82" s="3" t="n">
        <x:v>618</x:v>
      </x:c>
      <x:c r="F82" s="3" t="n">
        <x:v>518</x:v>
      </x:c>
      <x:c r="G82" s="3" t="n">
        <x:v>1136</x:v>
      </x:c>
      <x:c r="H82" s="3" t="n">
        <x:v>409829</x:v>
      </x:c>
      <x:c r="I82" s="3" t="n">
        <x:v>418730</x:v>
      </x:c>
      <x:c r="J82" s="3" t="n">
        <x:v>828559</x:v>
      </x:c>
      <x:c r="K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 ht="30" customHeight="1">
      <x:c r="A1" s="10" t="str">
        <x:v>พื้นที่</x:v>
      </x:c>
      <x:c r="B1" s="11" t="str">
        <x:v>ชาย(ไทย)</x:v>
      </x:c>
      <x:c r="C1" s="11" t="str">
        <x:v>หญิง(ไทย)</x:v>
      </x:c>
      <x:c r="D1" s="11" t="str">
        <x:v>รวม(ไทย)</x:v>
      </x:c>
      <x:c r="E1" s="11" t="str">
        <x:v>ชาย(ไม่ใช่ไทย)</x:v>
      </x:c>
      <x:c r="F1" s="11" t="str">
        <x:v>หญิง(ไม่ใช่ไทย)</x:v>
      </x:c>
      <x:c r="G1" s="11" t="str">
        <x:v>รวม(ไม่ใช่ไทย)</x:v>
      </x:c>
      <x:c r="H1" s="11" t="str">
        <x:v>ชาย(รวม)</x:v>
      </x:c>
      <x:c r="I1" s="11" t="str">
        <x:v>หญิง(รวม)</x:v>
      </x:c>
      <x:c r="J1" s="11" t="str">
        <x:v>รวม(รวม)</x:v>
      </x:c>
      <x:c r="K1" s="10" t="str">
        <x:v>อันดับ</x:v>
      </x:c>
    </x:row>
    <x:row r="2" ht="24" customHeight="1">
      <x:c r="A2" s="2" t="str">
        <x:v>กรุงเทพมหานคร</x:v>
      </x:c>
      <x:c r="B2" s="3" t="n">
        <x:v>2467150</x:v>
      </x:c>
      <x:c r="C2" s="3" t="n">
        <x:v>2849478</x:v>
      </x:c>
      <x:c r="D2" s="3" t="n">
        <x:v>5316628</x:v>
      </x:c>
      <x:c r="E2" s="3" t="n">
        <x:v>57180</x:v>
      </x:c>
      <x:c r="F2" s="3" t="n">
        <x:v>45676</x:v>
      </x:c>
      <x:c r="G2" s="3" t="n">
        <x:v>102856</x:v>
      </x:c>
      <x:c r="H2" s="3" t="n">
        <x:v>2524330</x:v>
      </x:c>
      <x:c r="I2" s="3" t="n">
        <x:v>2895154</x:v>
      </x:c>
      <x:c r="J2" s="3" t="n">
        <x:v>5419484</x:v>
      </x:c>
      <x:c r="K2" s="2" t="n">
        <x:f>RANK(J2,$J$2:$J$78,0)+COUNTIFS($J$2:J2,J2)-1</x:f>
        <x:v>1</x:v>
      </x:c>
    </x:row>
    <x:row r="3" ht="24" customHeight="1">
      <x:c r="A3" s="2" t="str">
        <x:v>สมุทรปราการ</x:v>
      </x:c>
      <x:c r="B3" s="3" t="n">
        <x:v>646554</x:v>
      </x:c>
      <x:c r="C3" s="3" t="n">
        <x:v>722554</x:v>
      </x:c>
      <x:c r="D3" s="3" t="n">
        <x:v>1369108</x:v>
      </x:c>
      <x:c r="E3" s="3" t="n">
        <x:v>8060</x:v>
      </x:c>
      <x:c r="F3" s="3" t="n">
        <x:v>7023</x:v>
      </x:c>
      <x:c r="G3" s="3" t="n">
        <x:v>15083</x:v>
      </x:c>
      <x:c r="H3" s="3" t="n">
        <x:v>654614</x:v>
      </x:c>
      <x:c r="I3" s="3" t="n">
        <x:v>729577</x:v>
      </x:c>
      <x:c r="J3" s="3" t="n">
        <x:v>1384191</x:v>
      </x:c>
      <x:c r="K3" s="2" t="n">
        <x:f>RANK(J3,$J$2:$J$78,0)+COUNTIFS($J$2:J3,J3)-1</x:f>
        <x:v>12</x:v>
      </x:c>
    </x:row>
    <x:row r="4" ht="24" customHeight="1">
      <x:c r="A4" s="2" t="str">
        <x:v>นนทบุรี</x:v>
      </x:c>
      <x:c r="B4" s="3" t="n">
        <x:v>605712</x:v>
      </x:c>
      <x:c r="C4" s="3" t="n">
        <x:v>706902</x:v>
      </x:c>
      <x:c r="D4" s="3" t="n">
        <x:v>1312614</x:v>
      </x:c>
      <x:c r="E4" s="3" t="n">
        <x:v>5212</x:v>
      </x:c>
      <x:c r="F4" s="3" t="n">
        <x:v>4408</x:v>
      </x:c>
      <x:c r="G4" s="3" t="n">
        <x:v>9620</x:v>
      </x:c>
      <x:c r="H4" s="3" t="n">
        <x:v>610924</x:v>
      </x:c>
      <x:c r="I4" s="3" t="n">
        <x:v>711310</x:v>
      </x:c>
      <x:c r="J4" s="3" t="n">
        <x:v>1322234</x:v>
      </x:c>
      <x:c r="K4" s="2" t="n">
        <x:f>RANK(J4,$J$2:$J$78,0)+COUNTIFS($J$2:J4,J4)-1</x:f>
        <x:v>14</x:v>
      </x:c>
    </x:row>
    <x:row r="5" ht="24" customHeight="1">
      <x:c r="A5" s="2" t="str">
        <x:v>ปทุมธานี</x:v>
      </x:c>
      <x:c r="B5" s="3" t="n">
        <x:v>582102</x:v>
      </x:c>
      <x:c r="C5" s="3" t="n">
        <x:v>654014</x:v>
      </x:c>
      <x:c r="D5" s="3" t="n">
        <x:v>1236116</x:v>
      </x:c>
      <x:c r="E5" s="3" t="n">
        <x:v>5682</x:v>
      </x:c>
      <x:c r="F5" s="3" t="n">
        <x:v>4817</x:v>
      </x:c>
      <x:c r="G5" s="3" t="n">
        <x:v>10499</x:v>
      </x:c>
      <x:c r="H5" s="3" t="n">
        <x:v>587784</x:v>
      </x:c>
      <x:c r="I5" s="3" t="n">
        <x:v>658831</x:v>
      </x:c>
      <x:c r="J5" s="3" t="n">
        <x:v>1246615</x:v>
      </x:c>
      <x:c r="K5" s="2" t="n">
        <x:f>RANK(J5,$J$2:$J$78,0)+COUNTIFS($J$2:J5,J5)-1</x:f>
        <x:v>17</x:v>
      </x:c>
    </x:row>
    <x:row r="6" ht="24" customHeight="1">
      <x:c r="A6" s="2" t="str">
        <x:v>พระนครศรีอยุธยา</x:v>
      </x:c>
      <x:c r="B6" s="3" t="n">
        <x:v>392549</x:v>
      </x:c>
      <x:c r="C6" s="3" t="n">
        <x:v>427514</x:v>
      </x:c>
      <x:c r="D6" s="3" t="n">
        <x:v>820063</x:v>
      </x:c>
      <x:c r="E6" s="3" t="n">
        <x:v>1316</x:v>
      </x:c>
      <x:c r="F6" s="3" t="n">
        <x:v>1126</x:v>
      </x:c>
      <x:c r="G6" s="3" t="n">
        <x:v>2442</x:v>
      </x:c>
      <x:c r="H6" s="3" t="n">
        <x:v>393865</x:v>
      </x:c>
      <x:c r="I6" s="3" t="n">
        <x:v>428640</x:v>
      </x:c>
      <x:c r="J6" s="3" t="n">
        <x:v>822505</x:v>
      </x:c>
      <x:c r="K6" s="2" t="n">
        <x:f>RANK(J6,$J$2:$J$78,0)+COUNTIFS($J$2:J6,J6)-1</x:f>
        <x:v>30</x:v>
      </x:c>
    </x:row>
    <x:row r="7" ht="24" customHeight="1">
      <x:c r="A7" s="2" t="str">
        <x:v>อ่างทอง</x:v>
      </x:c>
      <x:c r="B7" s="3" t="n">
        <x:v>127112</x:v>
      </x:c>
      <x:c r="C7" s="3" t="n">
        <x:v>139174</x:v>
      </x:c>
      <x:c r="D7" s="3" t="n">
        <x:v>266286</x:v>
      </x:c>
      <x:c r="E7" s="3" t="n">
        <x:v>238</x:v>
      </x:c>
      <x:c r="F7" s="3" t="n">
        <x:v>218</x:v>
      </x:c>
      <x:c r="G7" s="3" t="n">
        <x:v>456</x:v>
      </x:c>
      <x:c r="H7" s="3" t="n">
        <x:v>127350</x:v>
      </x:c>
      <x:c r="I7" s="3" t="n">
        <x:v>139392</x:v>
      </x:c>
      <x:c r="J7" s="3" t="n">
        <x:v>266742</x:v>
      </x:c>
      <x:c r="K7" s="2" t="n">
        <x:f>RANK(J7,$J$2:$J$78,0)+COUNTIFS($J$2:J7,J7)-1</x:f>
        <x:v>71</x:v>
      </x:c>
    </x:row>
    <x:row r="8" ht="24" customHeight="1">
      <x:c r="A8" s="2" t="str">
        <x:v>ลพบุรี</x:v>
      </x:c>
      <x:c r="B8" s="3" t="n">
        <x:v>356585</x:v>
      </x:c>
      <x:c r="C8" s="3" t="n">
        <x:v>362865</x:v>
      </x:c>
      <x:c r="D8" s="3" t="n">
        <x:v>719450</x:v>
      </x:c>
      <x:c r="E8" s="3" t="n">
        <x:v>823</x:v>
      </x:c>
      <x:c r="F8" s="3" t="n">
        <x:v>632</x:v>
      </x:c>
      <x:c r="G8" s="3" t="n">
        <x:v>1455</x:v>
      </x:c>
      <x:c r="H8" s="3" t="n">
        <x:v>357408</x:v>
      </x:c>
      <x:c r="I8" s="3" t="n">
        <x:v>363497</x:v>
      </x:c>
      <x:c r="J8" s="3" t="n">
        <x:v>720905</x:v>
      </x:c>
      <x:c r="K8" s="2" t="n">
        <x:f>RANK(J8,$J$2:$J$78,0)+COUNTIFS($J$2:J8,J8)-1</x:f>
        <x:v>35</x:v>
      </x:c>
    </x:row>
    <x:row r="9" ht="24" customHeight="1">
      <x:c r="A9" s="2" t="str">
        <x:v>สิงห์บุรี</x:v>
      </x:c>
      <x:c r="B9" s="3" t="n">
        <x:v>93743</x:v>
      </x:c>
      <x:c r="C9" s="3" t="n">
        <x:v>103824</x:v>
      </x:c>
      <x:c r="D9" s="3" t="n">
        <x:v>197567</x:v>
      </x:c>
      <x:c r="E9" s="3" t="n">
        <x:v>162</x:v>
      </x:c>
      <x:c r="F9" s="3" t="n">
        <x:v>141</x:v>
      </x:c>
      <x:c r="G9" s="3" t="n">
        <x:v>303</x:v>
      </x:c>
      <x:c r="H9" s="3" t="n">
        <x:v>93905</x:v>
      </x:c>
      <x:c r="I9" s="3" t="n">
        <x:v>103965</x:v>
      </x:c>
      <x:c r="J9" s="3" t="n">
        <x:v>197870</x:v>
      </x:c>
      <x:c r="K9" s="2" t="n">
        <x:f>RANK(J9,$J$2:$J$78,0)+COUNTIFS($J$2:J9,J9)-1</x:f>
        <x:v>75</x:v>
      </x:c>
    </x:row>
    <x:row r="10" ht="24" customHeight="1">
      <x:c r="A10" s="2" t="str">
        <x:v>ชัยนาท</x:v>
      </x:c>
      <x:c r="B10" s="3" t="n">
        <x:v>149137</x:v>
      </x:c>
      <x:c r="C10" s="3" t="n">
        <x:v>161923</x:v>
      </x:c>
      <x:c r="D10" s="3" t="n">
        <x:v>311060</x:v>
      </x:c>
      <x:c r="E10" s="3" t="n">
        <x:v>202</x:v>
      </x:c>
      <x:c r="F10" s="3" t="n">
        <x:v>165</x:v>
      </x:c>
      <x:c r="G10" s="3" t="n">
        <x:v>367</x:v>
      </x:c>
      <x:c r="H10" s="3" t="n">
        <x:v>149339</x:v>
      </x:c>
      <x:c r="I10" s="3" t="n">
        <x:v>162088</x:v>
      </x:c>
      <x:c r="J10" s="3" t="n">
        <x:v>311427</x:v>
      </x:c>
      <x:c r="K10" s="2" t="n">
        <x:f>RANK(J10,$J$2:$J$78,0)+COUNTIFS($J$2:J10,J10)-1</x:f>
        <x:v>69</x:v>
      </x:c>
    </x:row>
    <x:row r="11" ht="24" customHeight="1">
      <x:c r="A11" s="2" t="str">
        <x:v>สระบุรี</x:v>
      </x:c>
      <x:c r="B11" s="3" t="n">
        <x:v>311845</x:v>
      </x:c>
      <x:c r="C11" s="3" t="n">
        <x:v>324553</x:v>
      </x:c>
      <x:c r="D11" s="3" t="n">
        <x:v>636398</x:v>
      </x:c>
      <x:c r="E11" s="3" t="n">
        <x:v>1148</x:v>
      </x:c>
      <x:c r="F11" s="3" t="n">
        <x:v>1001</x:v>
      </x:c>
      <x:c r="G11" s="3" t="n">
        <x:v>2149</x:v>
      </x:c>
      <x:c r="H11" s="3" t="n">
        <x:v>312993</x:v>
      </x:c>
      <x:c r="I11" s="3" t="n">
        <x:v>325554</x:v>
      </x:c>
      <x:c r="J11" s="3" t="n">
        <x:v>638547</x:v>
      </x:c>
      <x:c r="K11" s="2" t="n">
        <x:f>RANK(J11,$J$2:$J$78,0)+COUNTIFS($J$2:J11,J11)-1</x:f>
        <x:v>40</x:v>
      </x:c>
    </x:row>
    <x:row r="12" ht="24" customHeight="1">
      <x:c r="A12" s="2" t="str">
        <x:v>ชลบุรี</x:v>
      </x:c>
      <x:c r="B12" s="3" t="n">
        <x:v>784352</x:v>
      </x:c>
      <x:c r="C12" s="3" t="n">
        <x:v>838971</x:v>
      </x:c>
      <x:c r="D12" s="3" t="n">
        <x:v>1623323</x:v>
      </x:c>
      <x:c r="E12" s="3" t="n">
        <x:v>14400</x:v>
      </x:c>
      <x:c r="F12" s="3" t="n">
        <x:v>9099</x:v>
      </x:c>
      <x:c r="G12" s="3" t="n">
        <x:v>23499</x:v>
      </x:c>
      <x:c r="H12" s="3" t="n">
        <x:v>798752</x:v>
      </x:c>
      <x:c r="I12" s="3" t="n">
        <x:v>848070</x:v>
      </x:c>
      <x:c r="J12" s="3" t="n">
        <x:v>1646822</x:v>
      </x:c>
      <x:c r="K12" s="2" t="n">
        <x:f>RANK(J12,$J$2:$J$78,0)+COUNTIFS($J$2:J12,J12)-1</x:f>
        <x:v>6</x:v>
      </x:c>
    </x:row>
    <x:row r="13" ht="24" customHeight="1">
      <x:c r="A13" s="2" t="str">
        <x:v>ระยอง</x:v>
      </x:c>
      <x:c r="B13" s="3" t="n">
        <x:v>381921</x:v>
      </x:c>
      <x:c r="C13" s="3" t="n">
        <x:v>400651</x:v>
      </x:c>
      <x:c r="D13" s="3" t="n">
        <x:v>782572</x:v>
      </x:c>
      <x:c r="E13" s="3" t="n">
        <x:v>4632</x:v>
      </x:c>
      <x:c r="F13" s="3" t="n">
        <x:v>3228</x:v>
      </x:c>
      <x:c r="G13" s="3" t="n">
        <x:v>7860</x:v>
      </x:c>
      <x:c r="H13" s="3" t="n">
        <x:v>386553</x:v>
      </x:c>
      <x:c r="I13" s="3" t="n">
        <x:v>403879</x:v>
      </x:c>
      <x:c r="J13" s="3" t="n">
        <x:v>790432</x:v>
      </x:c>
      <x:c r="K13" s="2" t="n">
        <x:f>RANK(J13,$J$2:$J$78,0)+COUNTIFS($J$2:J13,J13)-1</x:f>
        <x:v>32</x:v>
      </x:c>
    </x:row>
    <x:row r="14" ht="24" customHeight="1">
      <x:c r="A14" s="2" t="str">
        <x:v>จันทบุรี</x:v>
      </x:c>
      <x:c r="B14" s="3" t="n">
        <x:v>258277</x:v>
      </x:c>
      <x:c r="C14" s="3" t="n">
        <x:v>272000</x:v>
      </x:c>
      <x:c r="D14" s="3" t="n">
        <x:v>530277</x:v>
      </x:c>
      <x:c r="E14" s="3" t="n">
        <x:v>2620</x:v>
      </x:c>
      <x:c r="F14" s="3" t="n">
        <x:v>2435</x:v>
      </x:c>
      <x:c r="G14" s="3" t="n">
        <x:v>5055</x:v>
      </x:c>
      <x:c r="H14" s="3" t="n">
        <x:v>260897</x:v>
      </x:c>
      <x:c r="I14" s="3" t="n">
        <x:v>274435</x:v>
      </x:c>
      <x:c r="J14" s="3" t="n">
        <x:v>535332</x:v>
      </x:c>
      <x:c r="K14" s="2" t="n">
        <x:f>RANK(J14,$J$2:$J$78,0)+COUNTIFS($J$2:J14,J14)-1</x:f>
        <x:v>48</x:v>
      </x:c>
    </x:row>
    <x:row r="15" ht="24" customHeight="1">
      <x:c r="A15" s="2" t="str">
        <x:v>ตราด</x:v>
      </x:c>
      <x:c r="B15" s="3" t="n">
        <x:v>106597</x:v>
      </x:c>
      <x:c r="C15" s="3" t="n">
        <x:v>109769</x:v>
      </x:c>
      <x:c r="D15" s="3" t="n">
        <x:v>216366</x:v>
      </x:c>
      <x:c r="E15" s="3" t="n">
        <x:v>4634</x:v>
      </x:c>
      <x:c r="F15" s="3" t="n">
        <x:v>4546</x:v>
      </x:c>
      <x:c r="G15" s="3" t="n">
        <x:v>9180</x:v>
      </x:c>
      <x:c r="H15" s="3" t="n">
        <x:v>111231</x:v>
      </x:c>
      <x:c r="I15" s="3" t="n">
        <x:v>114315</x:v>
      </x:c>
      <x:c r="J15" s="3" t="n">
        <x:v>225546</x:v>
      </x:c>
      <x:c r="K15" s="2" t="n">
        <x:f>RANK(J15,$J$2:$J$78,0)+COUNTIFS($J$2:J15,J15)-1</x:f>
        <x:v>74</x:v>
      </x:c>
    </x:row>
    <x:row r="16" ht="24" customHeight="1">
      <x:c r="A16" s="2" t="str">
        <x:v>ฉะเชิงเทรา</x:v>
      </x:c>
      <x:c r="B16" s="3" t="n">
        <x:v>356505</x:v>
      </x:c>
      <x:c r="C16" s="3" t="n">
        <x:v>373218</x:v>
      </x:c>
      <x:c r="D16" s="3" t="n">
        <x:v>729723</x:v>
      </x:c>
      <x:c r="E16" s="3" t="n">
        <x:v>1932</x:v>
      </x:c>
      <x:c r="F16" s="3" t="n">
        <x:v>1772</x:v>
      </x:c>
      <x:c r="G16" s="3" t="n">
        <x:v>3704</x:v>
      </x:c>
      <x:c r="H16" s="3" t="n">
        <x:v>358437</x:v>
      </x:c>
      <x:c r="I16" s="3" t="n">
        <x:v>374990</x:v>
      </x:c>
      <x:c r="J16" s="3" t="n">
        <x:v>733427</x:v>
      </x:c>
      <x:c r="K16" s="2" t="n">
        <x:f>RANK(J16,$J$2:$J$78,0)+COUNTIFS($J$2:J16,J16)-1</x:f>
        <x:v>34</x:v>
      </x:c>
    </x:row>
    <x:row r="17" ht="24" customHeight="1">
      <x:c r="A17" s="2" t="str">
        <x:v>ปราจีนบุรี</x:v>
      </x:c>
      <x:c r="B17" s="3" t="n">
        <x:v>246898</x:v>
      </x:c>
      <x:c r="C17" s="3" t="n">
        <x:v>253908</x:v>
      </x:c>
      <x:c r="D17" s="3" t="n">
        <x:v>500806</x:v>
      </x:c>
      <x:c r="E17" s="3" t="n">
        <x:v>789</x:v>
      </x:c>
      <x:c r="F17" s="3" t="n">
        <x:v>566</x:v>
      </x:c>
      <x:c r="G17" s="3" t="n">
        <x:v>1355</x:v>
      </x:c>
      <x:c r="H17" s="3" t="n">
        <x:v>247687</x:v>
      </x:c>
      <x:c r="I17" s="3" t="n">
        <x:v>254474</x:v>
      </x:c>
      <x:c r="J17" s="3" t="n">
        <x:v>502161</x:v>
      </x:c>
      <x:c r="K17" s="2" t="n">
        <x:f>RANK(J17,$J$2:$J$78,0)+COUNTIFS($J$2:J17,J17)-1</x:f>
        <x:v>54</x:v>
      </x:c>
    </x:row>
    <x:row r="18" ht="24" customHeight="1">
      <x:c r="A18" s="2" t="str">
        <x:v>นครนายก</x:v>
      </x:c>
      <x:c r="B18" s="3" t="n">
        <x:v>127367</x:v>
      </x:c>
      <x:c r="C18" s="3" t="n">
        <x:v>130794</x:v>
      </x:c>
      <x:c r="D18" s="3" t="n">
        <x:v>258161</x:v>
      </x:c>
      <x:c r="E18" s="3" t="n">
        <x:v>752</x:v>
      </x:c>
      <x:c r="F18" s="3" t="n">
        <x:v>591</x:v>
      </x:c>
      <x:c r="G18" s="3" t="n">
        <x:v>1343</x:v>
      </x:c>
      <x:c r="H18" s="3" t="n">
        <x:v>128119</x:v>
      </x:c>
      <x:c r="I18" s="3" t="n">
        <x:v>131385</x:v>
      </x:c>
      <x:c r="J18" s="3" t="n">
        <x:v>259504</x:v>
      </x:c>
      <x:c r="K18" s="2" t="n">
        <x:f>RANK(J18,$J$2:$J$78,0)+COUNTIFS($J$2:J18,J18)-1</x:f>
        <x:v>73</x:v>
      </x:c>
    </x:row>
    <x:row r="19" ht="24" customHeight="1">
      <x:c r="A19" s="2" t="str">
        <x:v>สระแก้ว</x:v>
      </x:c>
      <x:c r="B19" s="3" t="n">
        <x:v>277060</x:v>
      </x:c>
      <x:c r="C19" s="3" t="n">
        <x:v>278284</x:v>
      </x:c>
      <x:c r="D19" s="3" t="n">
        <x:v>555344</x:v>
      </x:c>
      <x:c r="E19" s="3" t="n">
        <x:v>2461</x:v>
      </x:c>
      <x:c r="F19" s="3" t="n">
        <x:v>2868</x:v>
      </x:c>
      <x:c r="G19" s="3" t="n">
        <x:v>5329</x:v>
      </x:c>
      <x:c r="H19" s="3" t="n">
        <x:v>279521</x:v>
      </x:c>
      <x:c r="I19" s="3" t="n">
        <x:v>281152</x:v>
      </x:c>
      <x:c r="J19" s="3" t="n">
        <x:v>560673</x:v>
      </x:c>
      <x:c r="K19" s="2" t="n">
        <x:f>RANK(J19,$J$2:$J$78,0)+COUNTIFS($J$2:J19,J19)-1</x:f>
        <x:v>45</x:v>
      </x:c>
    </x:row>
    <x:row r="20" ht="24" customHeight="1">
      <x:c r="A20" s="2" t="str">
        <x:v>นครราชสีมา</x:v>
      </x:c>
      <x:c r="B20" s="3" t="n">
        <x:v>1274417</x:v>
      </x:c>
      <x:c r="C20" s="3" t="n">
        <x:v>1332632</x:v>
      </x:c>
      <x:c r="D20" s="3" t="n">
        <x:v>2607049</x:v>
      </x:c>
      <x:c r="E20" s="3" t="n">
        <x:v>3245</x:v>
      </x:c>
      <x:c r="F20" s="3" t="n">
        <x:v>1997</x:v>
      </x:c>
      <x:c r="G20" s="3" t="n">
        <x:v>5242</x:v>
      </x:c>
      <x:c r="H20" s="3" t="n">
        <x:v>1277662</x:v>
      </x:c>
      <x:c r="I20" s="3" t="n">
        <x:v>1334629</x:v>
      </x:c>
      <x:c r="J20" s="3" t="n">
        <x:v>2612291</x:v>
      </x:c>
      <x:c r="K20" s="2" t="n">
        <x:f>RANK(J20,$J$2:$J$78,0)+COUNTIFS($J$2:J20,J20)-1</x:f>
        <x:v>2</x:v>
      </x:c>
    </x:row>
    <x:row r="21" ht="24" customHeight="1">
      <x:c r="A21" s="2" t="str">
        <x:v>บุรีรัมย์</x:v>
      </x:c>
      <x:c r="B21" s="3" t="n">
        <x:v>769087</x:v>
      </x:c>
      <x:c r="C21" s="3" t="n">
        <x:v>787660</x:v>
      </x:c>
      <x:c r="D21" s="3" t="n">
        <x:v>1556747</x:v>
      </x:c>
      <x:c r="E21" s="3" t="n">
        <x:v>2006</x:v>
      </x:c>
      <x:c r="F21" s="3" t="n">
        <x:v>651</x:v>
      </x:c>
      <x:c r="G21" s="3" t="n">
        <x:v>2657</x:v>
      </x:c>
      <x:c r="H21" s="3" t="n">
        <x:v>771093</x:v>
      </x:c>
      <x:c r="I21" s="3" t="n">
        <x:v>788311</x:v>
      </x:c>
      <x:c r="J21" s="3" t="n">
        <x:v>1559404</x:v>
      </x:c>
      <x:c r="K21" s="2" t="n">
        <x:f>RANK(J21,$J$2:$J$78,0)+COUNTIFS($J$2:J21,J21)-1</x:f>
        <x:v>7</x:v>
      </x:c>
    </x:row>
    <x:row r="22" ht="24" customHeight="1">
      <x:c r="A22" s="2" t="str">
        <x:v>สุรินทร์</x:v>
      </x:c>
      <x:c r="B22" s="3" t="n">
        <x:v>670119</x:v>
      </x:c>
      <x:c r="C22" s="3" t="n">
        <x:v>681766</x:v>
      </x:c>
      <x:c r="D22" s="3" t="n">
        <x:v>1351885</x:v>
      </x:c>
      <x:c r="E22" s="3" t="n">
        <x:v>1281</x:v>
      </x:c>
      <x:c r="F22" s="3" t="n">
        <x:v>566</x:v>
      </x:c>
      <x:c r="G22" s="3" t="n">
        <x:v>1847</x:v>
      </x:c>
      <x:c r="H22" s="3" t="n">
        <x:v>671400</x:v>
      </x:c>
      <x:c r="I22" s="3" t="n">
        <x:v>682332</x:v>
      </x:c>
      <x:c r="J22" s="3" t="n">
        <x:v>1353732</x:v>
      </x:c>
      <x:c r="K22" s="2" t="n">
        <x:f>RANK(J22,$J$2:$J$78,0)+COUNTIFS($J$2:J22,J22)-1</x:f>
        <x:v>13</x:v>
      </x:c>
    </x:row>
    <x:row r="23" ht="24" customHeight="1">
      <x:c r="A23" s="2" t="str">
        <x:v>ศรีสะเกษ</x:v>
      </x:c>
      <x:c r="B23" s="3" t="n">
        <x:v>712915</x:v>
      </x:c>
      <x:c r="C23" s="3" t="n">
        <x:v>721834</x:v>
      </x:c>
      <x:c r="D23" s="3" t="n">
        <x:v>1434749</x:v>
      </x:c>
      <x:c r="E23" s="3" t="n">
        <x:v>907</x:v>
      </x:c>
      <x:c r="F23" s="3" t="n">
        <x:v>557</x:v>
      </x:c>
      <x:c r="G23" s="3" t="n">
        <x:v>1464</x:v>
      </x:c>
      <x:c r="H23" s="3" t="n">
        <x:v>713822</x:v>
      </x:c>
      <x:c r="I23" s="3" t="n">
        <x:v>722391</x:v>
      </x:c>
      <x:c r="J23" s="3" t="n">
        <x:v>1436213</x:v>
      </x:c>
      <x:c r="K23" s="2" t="n">
        <x:f>RANK(J23,$J$2:$J$78,0)+COUNTIFS($J$2:J23,J23)-1</x:f>
        <x:v>10</x:v>
      </x:c>
    </x:row>
    <x:row r="24" ht="24" customHeight="1">
      <x:c r="A24" s="2" t="str">
        <x:v>อุบลราชธานี</x:v>
      </x:c>
      <x:c r="B24" s="3" t="n">
        <x:v>923354</x:v>
      </x:c>
      <x:c r="C24" s="3" t="n">
        <x:v>932154</x:v>
      </x:c>
      <x:c r="D24" s="3" t="n">
        <x:v>1855508</x:v>
      </x:c>
      <x:c r="E24" s="3" t="n">
        <x:v>3868</x:v>
      </x:c>
      <x:c r="F24" s="3" t="n">
        <x:v>5352</x:v>
      </x:c>
      <x:c r="G24" s="3" t="n">
        <x:v>9220</x:v>
      </x:c>
      <x:c r="H24" s="3" t="n">
        <x:v>927222</x:v>
      </x:c>
      <x:c r="I24" s="3" t="n">
        <x:v>937506</x:v>
      </x:c>
      <x:c r="J24" s="3" t="n">
        <x:v>1864728</x:v>
      </x:c>
      <x:c r="K24" s="2" t="n">
        <x:f>RANK(J24,$J$2:$J$78,0)+COUNTIFS($J$2:J24,J24)-1</x:f>
        <x:v>3</x:v>
      </x:c>
    </x:row>
    <x:row r="25" ht="24" customHeight="1">
      <x:c r="A25" s="2" t="str">
        <x:v>ยโสธร</x:v>
      </x:c>
      <x:c r="B25" s="3" t="n">
        <x:v>259279</x:v>
      </x:c>
      <x:c r="C25" s="3" t="n">
        <x:v>262858</x:v>
      </x:c>
      <x:c r="D25" s="3" t="n">
        <x:v>522137</x:v>
      </x:c>
      <x:c r="E25" s="3" t="n">
        <x:v>270</x:v>
      </x:c>
      <x:c r="F25" s="3" t="n">
        <x:v>175</x:v>
      </x:c>
      <x:c r="G25" s="3" t="n">
        <x:v>445</x:v>
      </x:c>
      <x:c r="H25" s="3" t="n">
        <x:v>259549</x:v>
      </x:c>
      <x:c r="I25" s="3" t="n">
        <x:v>263033</x:v>
      </x:c>
      <x:c r="J25" s="3" t="n">
        <x:v>522582</x:v>
      </x:c>
      <x:c r="K25" s="2" t="n">
        <x:f>RANK(J25,$J$2:$J$78,0)+COUNTIFS($J$2:J25,J25)-1</x:f>
        <x:v>49</x:v>
      </x:c>
    </x:row>
    <x:row r="26" ht="24" customHeight="1">
      <x:c r="A26" s="2" t="str">
        <x:v>ชัยภูมิ</x:v>
      </x:c>
      <x:c r="B26" s="3" t="n">
        <x:v>540041</x:v>
      </x:c>
      <x:c r="C26" s="3" t="n">
        <x:v>558426</x:v>
      </x:c>
      <x:c r="D26" s="3" t="n">
        <x:v>1098467</x:v>
      </x:c>
      <x:c r="E26" s="3" t="n">
        <x:v>1095</x:v>
      </x:c>
      <x:c r="F26" s="3" t="n">
        <x:v>418</x:v>
      </x:c>
      <x:c r="G26" s="3" t="n">
        <x:v>1513</x:v>
      </x:c>
      <x:c r="H26" s="3" t="n">
        <x:v>541136</x:v>
      </x:c>
      <x:c r="I26" s="3" t="n">
        <x:v>558844</x:v>
      </x:c>
      <x:c r="J26" s="3" t="n">
        <x:v>1099980</x:v>
      </x:c>
      <x:c r="K26" s="2" t="n">
        <x:f>RANK(J26,$J$2:$J$78,0)+COUNTIFS($J$2:J26,J26)-1</x:f>
        <x:v>19</x:v>
      </x:c>
    </x:row>
    <x:row r="27" ht="24" customHeight="1">
      <x:c r="A27" s="2" t="str">
        <x:v>อำนาจเจริญ</x:v>
      </x:c>
      <x:c r="B27" s="3" t="n">
        <x:v>183442</x:v>
      </x:c>
      <x:c r="C27" s="3" t="n">
        <x:v>186258</x:v>
      </x:c>
      <x:c r="D27" s="3" t="n">
        <x:v>369700</x:v>
      </x:c>
      <x:c r="E27" s="3" t="n">
        <x:v>382</x:v>
      </x:c>
      <x:c r="F27" s="3" t="n">
        <x:v>432</x:v>
      </x:c>
      <x:c r="G27" s="3" t="n">
        <x:v>814</x:v>
      </x:c>
      <x:c r="H27" s="3" t="n">
        <x:v>183824</x:v>
      </x:c>
      <x:c r="I27" s="3" t="n">
        <x:v>186690</x:v>
      </x:c>
      <x:c r="J27" s="3" t="n">
        <x:v>370514</x:v>
      </x:c>
      <x:c r="K27" s="2" t="n">
        <x:f>RANK(J27,$J$2:$J$78,0)+COUNTIFS($J$2:J27,J27)-1</x:f>
        <x:v>65</x:v>
      </x:c>
    </x:row>
    <x:row r="28" ht="24" customHeight="1">
      <x:c r="A28" s="2" t="str">
        <x:v>บึงกาฬ</x:v>
      </x:c>
      <x:c r="B28" s="3" t="n">
        <x:v>208341</x:v>
      </x:c>
      <x:c r="C28" s="3" t="n">
        <x:v>208504</x:v>
      </x:c>
      <x:c r="D28" s="3" t="n">
        <x:v>416845</x:v>
      </x:c>
      <x:c r="E28" s="3" t="n">
        <x:v>508</x:v>
      </x:c>
      <x:c r="F28" s="3" t="n">
        <x:v>399</x:v>
      </x:c>
      <x:c r="G28" s="3" t="n">
        <x:v>907</x:v>
      </x:c>
      <x:c r="H28" s="3" t="n">
        <x:v>208849</x:v>
      </x:c>
      <x:c r="I28" s="3" t="n">
        <x:v>208903</x:v>
      </x:c>
      <x:c r="J28" s="3" t="n">
        <x:v>417752</x:v>
      </x:c>
      <x:c r="K28" s="2" t="n">
        <x:f>RANK(J28,$J$2:$J$78,0)+COUNTIFS($J$2:J28,J28)-1</x:f>
        <x:v>62</x:v>
      </x:c>
    </x:row>
    <x:row r="29" ht="24" customHeight="1">
      <x:c r="A29" s="2" t="str">
        <x:v>หนองบัวลำภู</x:v>
      </x:c>
      <x:c r="B29" s="3" t="n">
        <x:v>248649</x:v>
      </x:c>
      <x:c r="C29" s="3" t="n">
        <x:v>252442</x:v>
      </x:c>
      <x:c r="D29" s="3" t="n">
        <x:v>501091</x:v>
      </x:c>
      <x:c r="E29" s="3" t="n">
        <x:v>622</x:v>
      </x:c>
      <x:c r="F29" s="3" t="n">
        <x:v>178</x:v>
      </x:c>
      <x:c r="G29" s="3" t="n">
        <x:v>800</x:v>
      </x:c>
      <x:c r="H29" s="3" t="n">
        <x:v>249271</x:v>
      </x:c>
      <x:c r="I29" s="3" t="n">
        <x:v>252620</x:v>
      </x:c>
      <x:c r="J29" s="3" t="n">
        <x:v>501891</x:v>
      </x:c>
      <x:c r="K29" s="2" t="n">
        <x:f>RANK(J29,$J$2:$J$78,0)+COUNTIFS($J$2:J29,J29)-1</x:f>
        <x:v>55</x:v>
      </x:c>
    </x:row>
    <x:row r="30" ht="24" customHeight="1">
      <x:c r="A30" s="2" t="str">
        <x:v>ขอนแก่น</x:v>
      </x:c>
      <x:c r="B30" s="3" t="n">
        <x:v>860112</x:v>
      </x:c>
      <x:c r="C30" s="3" t="n">
        <x:v>900746</x:v>
      </x:c>
      <x:c r="D30" s="3" t="n">
        <x:v>1760858</x:v>
      </x:c>
      <x:c r="E30" s="3" t="n">
        <x:v>3185</x:v>
      </x:c>
      <x:c r="F30" s="3" t="n">
        <x:v>1069</x:v>
      </x:c>
      <x:c r="G30" s="3" t="n">
        <x:v>4254</x:v>
      </x:c>
      <x:c r="H30" s="3" t="n">
        <x:v>863297</x:v>
      </x:c>
      <x:c r="I30" s="3" t="n">
        <x:v>901815</x:v>
      </x:c>
      <x:c r="J30" s="3" t="n">
        <x:v>1765112</x:v>
      </x:c>
      <x:c r="K30" s="2" t="n">
        <x:f>RANK(J30,$J$2:$J$78,0)+COUNTIFS($J$2:J30,J30)-1</x:f>
        <x:v>5</x:v>
      </x:c>
    </x:row>
    <x:row r="31" ht="24" customHeight="1">
      <x:c r="A31" s="2" t="str">
        <x:v>อุดรธานี</x:v>
      </x:c>
      <x:c r="B31" s="3" t="n">
        <x:v>755902</x:v>
      </x:c>
      <x:c r="C31" s="3" t="n">
        <x:v>781370</x:v>
      </x:c>
      <x:c r="D31" s="3" t="n">
        <x:v>1537272</x:v>
      </x:c>
      <x:c r="E31" s="3" t="n">
        <x:v>5869</x:v>
      </x:c>
      <x:c r="F31" s="3" t="n">
        <x:v>2962</x:v>
      </x:c>
      <x:c r="G31" s="3" t="n">
        <x:v>8831</x:v>
      </x:c>
      <x:c r="H31" s="3" t="n">
        <x:v>761771</x:v>
      </x:c>
      <x:c r="I31" s="3" t="n">
        <x:v>784332</x:v>
      </x:c>
      <x:c r="J31" s="3" t="n">
        <x:v>1546103</x:v>
      </x:c>
      <x:c r="K31" s="2" t="n">
        <x:f>RANK(J31,$J$2:$J$78,0)+COUNTIFS($J$2:J31,J31)-1</x:f>
        <x:v>8</x:v>
      </x:c>
    </x:row>
    <x:row r="32" ht="24" customHeight="1">
      <x:c r="A32" s="2" t="str">
        <x:v>เลย</x:v>
      </x:c>
      <x:c r="B32" s="3" t="n">
        <x:v>312325</x:v>
      </x:c>
      <x:c r="C32" s="3" t="n">
        <x:v>312792</x:v>
      </x:c>
      <x:c r="D32" s="3" t="n">
        <x:v>625117</x:v>
      </x:c>
      <x:c r="E32" s="3" t="n">
        <x:v>1567</x:v>
      </x:c>
      <x:c r="F32" s="3" t="n">
        <x:v>2370</x:v>
      </x:c>
      <x:c r="G32" s="3" t="n">
        <x:v>3937</x:v>
      </x:c>
      <x:c r="H32" s="3" t="n">
        <x:v>313892</x:v>
      </x:c>
      <x:c r="I32" s="3" t="n">
        <x:v>315162</x:v>
      </x:c>
      <x:c r="J32" s="3" t="n">
        <x:v>629054</x:v>
      </x:c>
      <x:c r="K32" s="2" t="n">
        <x:f>RANK(J32,$J$2:$J$78,0)+COUNTIFS($J$2:J32,J32)-1</x:f>
        <x:v>42</x:v>
      </x:c>
    </x:row>
    <x:row r="33" ht="24" customHeight="1">
      <x:c r="A33" s="2" t="str">
        <x:v>หนองคาย</x:v>
      </x:c>
      <x:c r="B33" s="3" t="n">
        <x:v>249464</x:v>
      </x:c>
      <x:c r="C33" s="3" t="n">
        <x:v>255488</x:v>
      </x:c>
      <x:c r="D33" s="3" t="n">
        <x:v>504952</x:v>
      </x:c>
      <x:c r="E33" s="3" t="n">
        <x:v>2480</x:v>
      </x:c>
      <x:c r="F33" s="3" t="n">
        <x:v>2617</x:v>
      </x:c>
      <x:c r="G33" s="3" t="n">
        <x:v>5097</x:v>
      </x:c>
      <x:c r="H33" s="3" t="n">
        <x:v>251944</x:v>
      </x:c>
      <x:c r="I33" s="3" t="n">
        <x:v>258105</x:v>
      </x:c>
      <x:c r="J33" s="3" t="n">
        <x:v>510049</x:v>
      </x:c>
      <x:c r="K33" s="2" t="n">
        <x:f>RANK(J33,$J$2:$J$78,0)+COUNTIFS($J$2:J33,J33)-1</x:f>
        <x:v>52</x:v>
      </x:c>
    </x:row>
    <x:row r="34" ht="24" customHeight="1">
      <x:c r="A34" s="2" t="str">
        <x:v>มหาสารคาม</x:v>
      </x:c>
      <x:c r="B34" s="3" t="n">
        <x:v>452104</x:v>
      </x:c>
      <x:c r="C34" s="3" t="n">
        <x:v>470480</x:v>
      </x:c>
      <x:c r="D34" s="3" t="n">
        <x:v>922584</x:v>
      </x:c>
      <x:c r="E34" s="3" t="n">
        <x:v>659</x:v>
      </x:c>
      <x:c r="F34" s="3" t="n">
        <x:v>286</x:v>
      </x:c>
      <x:c r="G34" s="3" t="n">
        <x:v>945</x:v>
      </x:c>
      <x:c r="H34" s="3" t="n">
        <x:v>452763</x:v>
      </x:c>
      <x:c r="I34" s="3" t="n">
        <x:v>470766</x:v>
      </x:c>
      <x:c r="J34" s="3" t="n">
        <x:v>923529</x:v>
      </x:c>
      <x:c r="K34" s="2" t="n">
        <x:f>RANK(J34,$J$2:$J$78,0)+COUNTIFS($J$2:J34,J34)-1</x:f>
        <x:v>25</x:v>
      </x:c>
    </x:row>
    <x:row r="35" ht="24" customHeight="1">
      <x:c r="A35" s="2" t="str">
        <x:v>ร้อยเอ็ด</x:v>
      </x:c>
      <x:c r="B35" s="3" t="n">
        <x:v>624497</x:v>
      </x:c>
      <x:c r="C35" s="3" t="n">
        <x:v>642651</x:v>
      </x:c>
      <x:c r="D35" s="3" t="n">
        <x:v>1267148</x:v>
      </x:c>
      <x:c r="E35" s="3" t="n">
        <x:v>1039</x:v>
      </x:c>
      <x:c r="F35" s="3" t="n">
        <x:v>446</x:v>
      </x:c>
      <x:c r="G35" s="3" t="n">
        <x:v>1485</x:v>
      </x:c>
      <x:c r="H35" s="3" t="n">
        <x:v>625536</x:v>
      </x:c>
      <x:c r="I35" s="3" t="n">
        <x:v>643097</x:v>
      </x:c>
      <x:c r="J35" s="3" t="n">
        <x:v>1268633</x:v>
      </x:c>
      <x:c r="K35" s="2" t="n">
        <x:f>RANK(J35,$J$2:$J$78,0)+COUNTIFS($J$2:J35,J35)-1</x:f>
        <x:v>16</x:v>
      </x:c>
    </x:row>
    <x:row r="36" ht="24" customHeight="1">
      <x:c r="A36" s="2" t="str">
        <x:v>กาฬสินธุ์</x:v>
      </x:c>
      <x:c r="B36" s="3" t="n">
        <x:v>470353</x:v>
      </x:c>
      <x:c r="C36" s="3" t="n">
        <x:v>485438</x:v>
      </x:c>
      <x:c r="D36" s="3" t="n">
        <x:v>955791</x:v>
      </x:c>
      <x:c r="E36" s="3" t="n">
        <x:v>864</x:v>
      </x:c>
      <x:c r="F36" s="3" t="n">
        <x:v>297</x:v>
      </x:c>
      <x:c r="G36" s="3" t="n">
        <x:v>1161</x:v>
      </x:c>
      <x:c r="H36" s="3" t="n">
        <x:v>471217</x:v>
      </x:c>
      <x:c r="I36" s="3" t="n">
        <x:v>485735</x:v>
      </x:c>
      <x:c r="J36" s="3" t="n">
        <x:v>956952</x:v>
      </x:c>
      <x:c r="K36" s="2" t="n">
        <x:f>RANK(J36,$J$2:$J$78,0)+COUNTIFS($J$2:J36,J36)-1</x:f>
        <x:v>22</x:v>
      </x:c>
    </x:row>
    <x:row r="37" ht="24" customHeight="1">
      <x:c r="A37" s="2" t="str">
        <x:v>สกลนคร</x:v>
      </x:c>
      <x:c r="B37" s="3" t="n">
        <x:v>560489</x:v>
      </x:c>
      <x:c r="C37" s="3" t="n">
        <x:v>571656</x:v>
      </x:c>
      <x:c r="D37" s="3" t="n">
        <x:v>1132145</x:v>
      </x:c>
      <x:c r="E37" s="3" t="n">
        <x:v>929</x:v>
      </x:c>
      <x:c r="F37" s="3" t="n">
        <x:v>498</x:v>
      </x:c>
      <x:c r="G37" s="3" t="n">
        <x:v>1427</x:v>
      </x:c>
      <x:c r="H37" s="3" t="n">
        <x:v>561418</x:v>
      </x:c>
      <x:c r="I37" s="3" t="n">
        <x:v>572154</x:v>
      </x:c>
      <x:c r="J37" s="3" t="n">
        <x:v>1133572</x:v>
      </x:c>
      <x:c r="K37" s="2" t="n">
        <x:f>RANK(J37,$J$2:$J$78,0)+COUNTIFS($J$2:J37,J37)-1</x:f>
        <x:v>18</x:v>
      </x:c>
    </x:row>
    <x:row r="38" ht="24" customHeight="1">
      <x:c r="A38" s="2" t="str">
        <x:v>นครพนม</x:v>
      </x:c>
      <x:c r="B38" s="3" t="n">
        <x:v>351051</x:v>
      </x:c>
      <x:c r="C38" s="3" t="n">
        <x:v>355022</x:v>
      </x:c>
      <x:c r="D38" s="3" t="n">
        <x:v>706073</x:v>
      </x:c>
      <x:c r="E38" s="3" t="n">
        <x:v>927</x:v>
      </x:c>
      <x:c r="F38" s="3" t="n">
        <x:v>911</x:v>
      </x:c>
      <x:c r="G38" s="3" t="n">
        <x:v>1838</x:v>
      </x:c>
      <x:c r="H38" s="3" t="n">
        <x:v>351978</x:v>
      </x:c>
      <x:c r="I38" s="3" t="n">
        <x:v>355933</x:v>
      </x:c>
      <x:c r="J38" s="3" t="n">
        <x:v>707911</x:v>
      </x:c>
      <x:c r="K38" s="2" t="n">
        <x:f>RANK(J38,$J$2:$J$78,0)+COUNTIFS($J$2:J38,J38)-1</x:f>
        <x:v>36</x:v>
      </x:c>
    </x:row>
    <x:row r="39" ht="24" customHeight="1">
      <x:c r="A39" s="2" t="str">
        <x:v>มุกดาหาร</x:v>
      </x:c>
      <x:c r="B39" s="3" t="n">
        <x:v>172549</x:v>
      </x:c>
      <x:c r="C39" s="3" t="n">
        <x:v>173391</x:v>
      </x:c>
      <x:c r="D39" s="3" t="n">
        <x:v>345940</x:v>
      </x:c>
      <x:c r="E39" s="3" t="n">
        <x:v>1626</x:v>
      </x:c>
      <x:c r="F39" s="3" t="n">
        <x:v>1818</x:v>
      </x:c>
      <x:c r="G39" s="3" t="n">
        <x:v>3444</x:v>
      </x:c>
      <x:c r="H39" s="3" t="n">
        <x:v>174175</x:v>
      </x:c>
      <x:c r="I39" s="3" t="n">
        <x:v>175209</x:v>
      </x:c>
      <x:c r="J39" s="3" t="n">
        <x:v>349384</x:v>
      </x:c>
      <x:c r="K39" s="2" t="n">
        <x:f>RANK(J39,$J$2:$J$78,0)+COUNTIFS($J$2:J39,J39)-1</x:f>
        <x:v>66</x:v>
      </x:c>
    </x:row>
    <x:row r="40" ht="24" customHeight="1">
      <x:c r="A40" s="2" t="str">
        <x:v>เชียงใหม่</x:v>
      </x:c>
      <x:c r="B40" s="3" t="n">
        <x:v>781123</x:v>
      </x:c>
      <x:c r="C40" s="3" t="n">
        <x:v>856291</x:v>
      </x:c>
      <x:c r="D40" s="3" t="n">
        <x:v>1637414</x:v>
      </x:c>
      <x:c r="E40" s="3" t="n">
        <x:v>82417</x:v>
      </x:c>
      <x:c r="F40" s="3" t="n">
        <x:v>78335</x:v>
      </x:c>
      <x:c r="G40" s="3" t="n">
        <x:v>160752</x:v>
      </x:c>
      <x:c r="H40" s="3" t="n">
        <x:v>863540</x:v>
      </x:c>
      <x:c r="I40" s="3" t="n">
        <x:v>934626</x:v>
      </x:c>
      <x:c r="J40" s="3" t="n">
        <x:v>1798166</x:v>
      </x:c>
      <x:c r="K40" s="2" t="n">
        <x:f>RANK(J40,$J$2:$J$78,0)+COUNTIFS($J$2:J40,J40)-1</x:f>
        <x:v>4</x:v>
      </x:c>
    </x:row>
    <x:row r="41" ht="24" customHeight="1">
      <x:c r="A41" s="2" t="str">
        <x:v>ลำพูน</x:v>
      </x:c>
      <x:c r="B41" s="3" t="n">
        <x:v>186631</x:v>
      </x:c>
      <x:c r="C41" s="3" t="n">
        <x:v>205007</x:v>
      </x:c>
      <x:c r="D41" s="3" t="n">
        <x:v>391638</x:v>
      </x:c>
      <x:c r="E41" s="3" t="n">
        <x:v>1683</x:v>
      </x:c>
      <x:c r="F41" s="3" t="n">
        <x:v>1482</x:v>
      </x:c>
      <x:c r="G41" s="3" t="n">
        <x:v>3165</x:v>
      </x:c>
      <x:c r="H41" s="3" t="n">
        <x:v>188314</x:v>
      </x:c>
      <x:c r="I41" s="3" t="n">
        <x:v>206489</x:v>
      </x:c>
      <x:c r="J41" s="3" t="n">
        <x:v>394803</x:v>
      </x:c>
      <x:c r="K41" s="2" t="n">
        <x:f>RANK(J41,$J$2:$J$78,0)+COUNTIFS($J$2:J41,J41)-1</x:f>
        <x:v>64</x:v>
      </x:c>
    </x:row>
    <x:row r="42" ht="24" customHeight="1">
      <x:c r="A42" s="2" t="str">
        <x:v>ลำปาง</x:v>
      </x:c>
      <x:c r="B42" s="3" t="n">
        <x:v>336093</x:v>
      </x:c>
      <x:c r="C42" s="3" t="n">
        <x:v>358033</x:v>
      </x:c>
      <x:c r="D42" s="3" t="n">
        <x:v>694126</x:v>
      </x:c>
      <x:c r="E42" s="3" t="n">
        <x:v>1475</x:v>
      </x:c>
      <x:c r="F42" s="3" t="n">
        <x:v>1391</x:v>
      </x:c>
      <x:c r="G42" s="3" t="n">
        <x:v>2866</x:v>
      </x:c>
      <x:c r="H42" s="3" t="n">
        <x:v>337568</x:v>
      </x:c>
      <x:c r="I42" s="3" t="n">
        <x:v>359424</x:v>
      </x:c>
      <x:c r="J42" s="3" t="n">
        <x:v>696992</x:v>
      </x:c>
      <x:c r="K42" s="2" t="n">
        <x:f>RANK(J42,$J$2:$J$78,0)+COUNTIFS($J$2:J42,J42)-1</x:f>
        <x:v>38</x:v>
      </x:c>
    </x:row>
    <x:row r="43" ht="24" customHeight="1">
      <x:c r="A43" s="2" t="str">
        <x:v>อุตรดิตถ์</x:v>
      </x:c>
      <x:c r="B43" s="3" t="n">
        <x:v>209706</x:v>
      </x:c>
      <x:c r="C43" s="3" t="n">
        <x:v>222075</x:v>
      </x:c>
      <x:c r="D43" s="3" t="n">
        <x:v>431781</x:v>
      </x:c>
      <x:c r="E43" s="3" t="n">
        <x:v>499</x:v>
      </x:c>
      <x:c r="F43" s="3" t="n">
        <x:v>677</x:v>
      </x:c>
      <x:c r="G43" s="3" t="n">
        <x:v>1176</x:v>
      </x:c>
      <x:c r="H43" s="3" t="n">
        <x:v>210205</x:v>
      </x:c>
      <x:c r="I43" s="3" t="n">
        <x:v>222752</x:v>
      </x:c>
      <x:c r="J43" s="3" t="n">
        <x:v>432957</x:v>
      </x:c>
      <x:c r="K43" s="2" t="n">
        <x:f>RANK(J43,$J$2:$J$78,0)+COUNTIFS($J$2:J43,J43)-1</x:f>
        <x:v>60</x:v>
      </x:c>
    </x:row>
    <x:row r="44" ht="24" customHeight="1">
      <x:c r="A44" s="2" t="str">
        <x:v>แพร่</x:v>
      </x:c>
      <x:c r="B44" s="3" t="n">
        <x:v>199462</x:v>
      </x:c>
      <x:c r="C44" s="3" t="n">
        <x:v>216859</x:v>
      </x:c>
      <x:c r="D44" s="3" t="n">
        <x:v>416321</x:v>
      </x:c>
      <x:c r="E44" s="3" t="n">
        <x:v>395</x:v>
      </x:c>
      <x:c r="F44" s="3" t="n">
        <x:v>299</x:v>
      </x:c>
      <x:c r="G44" s="3" t="n">
        <x:v>694</x:v>
      </x:c>
      <x:c r="H44" s="3" t="n">
        <x:v>199857</x:v>
      </x:c>
      <x:c r="I44" s="3" t="n">
        <x:v>217158</x:v>
      </x:c>
      <x:c r="J44" s="3" t="n">
        <x:v>417015</x:v>
      </x:c>
      <x:c r="K44" s="2" t="n">
        <x:f>RANK(J44,$J$2:$J$78,0)+COUNTIFS($J$2:J44,J44)-1</x:f>
        <x:v>63</x:v>
      </x:c>
    </x:row>
    <x:row r="45" ht="24" customHeight="1">
      <x:c r="A45" s="2" t="str">
        <x:v>น่าน</x:v>
      </x:c>
      <x:c r="B45" s="3" t="n">
        <x:v>232324</x:v>
      </x:c>
      <x:c r="C45" s="3" t="n">
        <x:v>233987</x:v>
      </x:c>
      <x:c r="D45" s="3" t="n">
        <x:v>466311</x:v>
      </x:c>
      <x:c r="E45" s="3" t="n">
        <x:v>797</x:v>
      </x:c>
      <x:c r="F45" s="3" t="n">
        <x:v>1019</x:v>
      </x:c>
      <x:c r="G45" s="3" t="n">
        <x:v>1816</x:v>
      </x:c>
      <x:c r="H45" s="3" t="n">
        <x:v>233121</x:v>
      </x:c>
      <x:c r="I45" s="3" t="n">
        <x:v>235006</x:v>
      </x:c>
      <x:c r="J45" s="3" t="n">
        <x:v>468127</x:v>
      </x:c>
      <x:c r="K45" s="2" t="n">
        <x:f>RANK(J45,$J$2:$J$78,0)+COUNTIFS($J$2:J45,J45)-1</x:f>
        <x:v>58</x:v>
      </x:c>
    </x:row>
    <x:row r="46" ht="24" customHeight="1">
      <x:c r="A46" s="2" t="str">
        <x:v>พะเยา</x:v>
      </x:c>
      <x:c r="B46" s="3" t="n">
        <x:v>217156</x:v>
      </x:c>
      <x:c r="C46" s="3" t="n">
        <x:v>231628</x:v>
      </x:c>
      <x:c r="D46" s="3" t="n">
        <x:v>448784</x:v>
      </x:c>
      <x:c r="E46" s="3" t="n">
        <x:v>1389</x:v>
      </x:c>
      <x:c r="F46" s="3" t="n">
        <x:v>1500</x:v>
      </x:c>
      <x:c r="G46" s="3" t="n">
        <x:v>2889</x:v>
      </x:c>
      <x:c r="H46" s="3" t="n">
        <x:v>218545</x:v>
      </x:c>
      <x:c r="I46" s="3" t="n">
        <x:v>233128</x:v>
      </x:c>
      <x:c r="J46" s="3" t="n">
        <x:v>451673</x:v>
      </x:c>
      <x:c r="K46" s="2" t="n">
        <x:f>RANK(J46,$J$2:$J$78,0)+COUNTIFS($J$2:J46,J46)-1</x:f>
        <x:v>59</x:v>
      </x:c>
    </x:row>
    <x:row r="47" ht="24" customHeight="1">
      <x:c r="A47" s="2" t="str">
        <x:v>เชียงราย</x:v>
      </x:c>
      <x:c r="B47" s="3" t="n">
        <x:v>564489</x:v>
      </x:c>
      <x:c r="C47" s="3" t="n">
        <x:v>596644</x:v>
      </x:c>
      <x:c r="D47" s="3" t="n">
        <x:v>1161133</x:v>
      </x:c>
      <x:c r="E47" s="3" t="n">
        <x:v>62655</x:v>
      </x:c>
      <x:c r="F47" s="3" t="n">
        <x:v>71750</x:v>
      </x:c>
      <x:c r="G47" s="3" t="n">
        <x:v>134405</x:v>
      </x:c>
      <x:c r="H47" s="3" t="n">
        <x:v>627144</x:v>
      </x:c>
      <x:c r="I47" s="3" t="n">
        <x:v>668394</x:v>
      </x:c>
      <x:c r="J47" s="3" t="n">
        <x:v>1295538</x:v>
      </x:c>
      <x:c r="K47" s="2" t="n">
        <x:f>RANK(J47,$J$2:$J$78,0)+COUNTIFS($J$2:J47,J47)-1</x:f>
        <x:v>15</x:v>
      </x:c>
    </x:row>
    <x:row r="48" ht="24" customHeight="1">
      <x:c r="A48" s="2" t="str">
        <x:v>แม่ฮ่องสอน</x:v>
      </x:c>
      <x:c r="B48" s="3" t="n">
        <x:v>122666</x:v>
      </x:c>
      <x:c r="C48" s="3" t="n">
        <x:v>120574</x:v>
      </x:c>
      <x:c r="D48" s="3" t="n">
        <x:v>243240</x:v>
      </x:c>
      <x:c r="E48" s="3" t="n">
        <x:v>23219</x:v>
      </x:c>
      <x:c r="F48" s="3" t="n">
        <x:v>22313</x:v>
      </x:c>
      <x:c r="G48" s="3" t="n">
        <x:v>45532</x:v>
      </x:c>
      <x:c r="H48" s="3" t="n">
        <x:v>145885</x:v>
      </x:c>
      <x:c r="I48" s="3" t="n">
        <x:v>142887</x:v>
      </x:c>
      <x:c r="J48" s="3" t="n">
        <x:v>288772</x:v>
      </x:c>
      <x:c r="K48" s="2" t="n">
        <x:f>RANK(J48,$J$2:$J$78,0)+COUNTIFS($J$2:J48,J48)-1</x:f>
        <x:v>70</x:v>
      </x:c>
    </x:row>
    <x:row r="49" ht="24" customHeight="1">
      <x:c r="A49" s="2" t="str">
        <x:v>นครสวรรค์</x:v>
      </x:c>
      <x:c r="B49" s="3" t="n">
        <x:v>488280</x:v>
      </x:c>
      <x:c r="C49" s="3" t="n">
        <x:v>517442</x:v>
      </x:c>
      <x:c r="D49" s="3" t="n">
        <x:v>1005722</x:v>
      </x:c>
      <x:c r="E49" s="3" t="n">
        <x:v>1203</x:v>
      </x:c>
      <x:c r="F49" s="3" t="n">
        <x:v>791</x:v>
      </x:c>
      <x:c r="G49" s="3" t="n">
        <x:v>1994</x:v>
      </x:c>
      <x:c r="H49" s="3" t="n">
        <x:v>489483</x:v>
      </x:c>
      <x:c r="I49" s="3" t="n">
        <x:v>518233</x:v>
      </x:c>
      <x:c r="J49" s="3" t="n">
        <x:v>1007716</x:v>
      </x:c>
      <x:c r="K49" s="2" t="n">
        <x:f>RANK(J49,$J$2:$J$78,0)+COUNTIFS($J$2:J49,J49)-1</x:f>
        <x:v>21</x:v>
      </x:c>
    </x:row>
    <x:row r="50" ht="24" customHeight="1">
      <x:c r="A50" s="2" t="str">
        <x:v>อุทัยธานี</x:v>
      </x:c>
      <x:c r="B50" s="3" t="n">
        <x:v>155082</x:v>
      </x:c>
      <x:c r="C50" s="3" t="n">
        <x:v>163165</x:v>
      </x:c>
      <x:c r="D50" s="3" t="n">
        <x:v>318247</x:v>
      </x:c>
      <x:c r="E50" s="3" t="n">
        <x:v>261</x:v>
      </x:c>
      <x:c r="F50" s="3" t="n">
        <x:v>243</x:v>
      </x:c>
      <x:c r="G50" s="3" t="n">
        <x:v>504</x:v>
      </x:c>
      <x:c r="H50" s="3" t="n">
        <x:v>155343</x:v>
      </x:c>
      <x:c r="I50" s="3" t="n">
        <x:v>163408</x:v>
      </x:c>
      <x:c r="J50" s="3" t="n">
        <x:v>318751</x:v>
      </x:c>
      <x:c r="K50" s="2" t="n">
        <x:f>RANK(J50,$J$2:$J$78,0)+COUNTIFS($J$2:J50,J50)-1</x:f>
        <x:v>68</x:v>
      </x:c>
    </x:row>
    <x:row r="51" ht="24" customHeight="1">
      <x:c r="A51" s="2" t="str">
        <x:v>กำแพงเพชร</x:v>
      </x:c>
      <x:c r="B51" s="3" t="n">
        <x:v>341885</x:v>
      </x:c>
      <x:c r="C51" s="3" t="n">
        <x:v>353163</x:v>
      </x:c>
      <x:c r="D51" s="3" t="n">
        <x:v>695048</x:v>
      </x:c>
      <x:c r="E51" s="3" t="n">
        <x:v>851</x:v>
      </x:c>
      <x:c r="F51" s="3" t="n">
        <x:v>712</x:v>
      </x:c>
      <x:c r="G51" s="3" t="n">
        <x:v>1563</x:v>
      </x:c>
      <x:c r="H51" s="3" t="n">
        <x:v>342736</x:v>
      </x:c>
      <x:c r="I51" s="3" t="n">
        <x:v>353875</x:v>
      </x:c>
      <x:c r="J51" s="3" t="n">
        <x:v>696611</x:v>
      </x:c>
      <x:c r="K51" s="2" t="n">
        <x:f>RANK(J51,$J$2:$J$78,0)+COUNTIFS($J$2:J51,J51)-1</x:f>
        <x:v>39</x:v>
      </x:c>
    </x:row>
    <x:row r="52" ht="24" customHeight="1">
      <x:c r="A52" s="2" t="str">
        <x:v>ตาก</x:v>
      </x:c>
      <x:c r="B52" s="3" t="n">
        <x:v>276448</x:v>
      </x:c>
      <x:c r="C52" s="3" t="n">
        <x:v>276738</x:v>
      </x:c>
      <x:c r="D52" s="3" t="n">
        <x:v>553186</x:v>
      </x:c>
      <x:c r="E52" s="3" t="n">
        <x:v>79566</x:v>
      </x:c>
      <x:c r="F52" s="3" t="n">
        <x:v>72112</x:v>
      </x:c>
      <x:c r="G52" s="3" t="n">
        <x:v>151678</x:v>
      </x:c>
      <x:c r="H52" s="3" t="n">
        <x:v>356014</x:v>
      </x:c>
      <x:c r="I52" s="3" t="n">
        <x:v>348850</x:v>
      </x:c>
      <x:c r="J52" s="3" t="n">
        <x:v>704864</x:v>
      </x:c>
      <x:c r="K52" s="2" t="n">
        <x:f>RANK(J52,$J$2:$J$78,0)+COUNTIFS($J$2:J52,J52)-1</x:f>
        <x:v>37</x:v>
      </x:c>
    </x:row>
    <x:row r="53" ht="24" customHeight="1">
      <x:c r="A53" s="2" t="str">
        <x:v>สุโขทัย</x:v>
      </x:c>
      <x:c r="B53" s="3" t="n">
        <x:v>274209</x:v>
      </x:c>
      <x:c r="C53" s="3" t="n">
        <x:v>293840</x:v>
      </x:c>
      <x:c r="D53" s="3" t="n">
        <x:v>568049</x:v>
      </x:c>
      <x:c r="E53" s="3" t="n">
        <x:v>509</x:v>
      </x:c>
      <x:c r="F53" s="3" t="n">
        <x:v>320</x:v>
      </x:c>
      <x:c r="G53" s="3" t="n">
        <x:v>829</x:v>
      </x:c>
      <x:c r="H53" s="3" t="n">
        <x:v>274718</x:v>
      </x:c>
      <x:c r="I53" s="3" t="n">
        <x:v>294160</x:v>
      </x:c>
      <x:c r="J53" s="3" t="n">
        <x:v>568878</x:v>
      </x:c>
      <x:c r="K53" s="2" t="n">
        <x:f>RANK(J53,$J$2:$J$78,0)+COUNTIFS($J$2:J53,J53)-1</x:f>
        <x:v>44</x:v>
      </x:c>
    </x:row>
    <x:row r="54" ht="24" customHeight="1">
      <x:c r="A54" s="2" t="str">
        <x:v>พิษณุโลก</x:v>
      </x:c>
      <x:c r="B54" s="3" t="n">
        <x:v>405771</x:v>
      </x:c>
      <x:c r="C54" s="3" t="n">
        <x:v>427430</x:v>
      </x:c>
      <x:c r="D54" s="3" t="n">
        <x:v>833201</x:v>
      </x:c>
      <x:c r="E54" s="3" t="n">
        <x:v>1159</x:v>
      </x:c>
      <x:c r="F54" s="3" t="n">
        <x:v>747</x:v>
      </x:c>
      <x:c r="G54" s="3" t="n">
        <x:v>1906</x:v>
      </x:c>
      <x:c r="H54" s="3" t="n">
        <x:v>406930</x:v>
      </x:c>
      <x:c r="I54" s="3" t="n">
        <x:v>428177</x:v>
      </x:c>
      <x:c r="J54" s="3" t="n">
        <x:v>835107</x:v>
      </x:c>
      <x:c r="K54" s="2" t="n">
        <x:f>RANK(J54,$J$2:$J$78,0)+COUNTIFS($J$2:J54,J54)-1</x:f>
        <x:v>28</x:v>
      </x:c>
    </x:row>
    <x:row r="55" ht="24" customHeight="1">
      <x:c r="A55" s="2" t="str">
        <x:v>พิจิตร</x:v>
      </x:c>
      <x:c r="B55" s="3" t="n">
        <x:v>248949</x:v>
      </x:c>
      <x:c r="C55" s="3" t="n">
        <x:v>263136</x:v>
      </x:c>
      <x:c r="D55" s="3" t="n">
        <x:v>512085</x:v>
      </x:c>
      <x:c r="E55" s="3" t="n">
        <x:v>383</x:v>
      </x:c>
      <x:c r="F55" s="3" t="n">
        <x:v>286</x:v>
      </x:c>
      <x:c r="G55" s="3" t="n">
        <x:v>669</x:v>
      </x:c>
      <x:c r="H55" s="3" t="n">
        <x:v>249332</x:v>
      </x:c>
      <x:c r="I55" s="3" t="n">
        <x:v>263422</x:v>
      </x:c>
      <x:c r="J55" s="3" t="n">
        <x:v>512754</x:v>
      </x:c>
      <x:c r="K55" s="2" t="n">
        <x:f>RANK(J55,$J$2:$J$78,0)+COUNTIFS($J$2:J55,J55)-1</x:f>
        <x:v>51</x:v>
      </x:c>
    </x:row>
    <x:row r="56" ht="24" customHeight="1">
      <x:c r="A56" s="2" t="str">
        <x:v>เพชรบูรณ์</x:v>
      </x:c>
      <x:c r="B56" s="3" t="n">
        <x:v>466737</x:v>
      </x:c>
      <x:c r="C56" s="3" t="n">
        <x:v>484881</x:v>
      </x:c>
      <x:c r="D56" s="3" t="n">
        <x:v>951618</x:v>
      </x:c>
      <x:c r="E56" s="3" t="n">
        <x:v>1372</x:v>
      </x:c>
      <x:c r="F56" s="3" t="n">
        <x:v>749</x:v>
      </x:c>
      <x:c r="G56" s="3" t="n">
        <x:v>2121</x:v>
      </x:c>
      <x:c r="H56" s="3" t="n">
        <x:v>468109</x:v>
      </x:c>
      <x:c r="I56" s="3" t="n">
        <x:v>485630</x:v>
      </x:c>
      <x:c r="J56" s="3" t="n">
        <x:v>953739</x:v>
      </x:c>
      <x:c r="K56" s="2" t="n">
        <x:f>RANK(J56,$J$2:$J$78,0)+COUNTIFS($J$2:J56,J56)-1</x:f>
        <x:v>23</x:v>
      </x:c>
    </x:row>
    <x:row r="57" ht="24" customHeight="1">
      <x:c r="A57" s="2" t="str">
        <x:v>ราชบุรี</x:v>
      </x:c>
      <x:c r="B57" s="3" t="n">
        <x:v>403371</x:v>
      </x:c>
      <x:c r="C57" s="3" t="n">
        <x:v>431977</x:v>
      </x:c>
      <x:c r="D57" s="3" t="n">
        <x:v>835348</x:v>
      </x:c>
      <x:c r="E57" s="3" t="n">
        <x:v>13997</x:v>
      </x:c>
      <x:c r="F57" s="3" t="n">
        <x:v>12195</x:v>
      </x:c>
      <x:c r="G57" s="3" t="n">
        <x:v>26192</x:v>
      </x:c>
      <x:c r="H57" s="3" t="n">
        <x:v>417368</x:v>
      </x:c>
      <x:c r="I57" s="3" t="n">
        <x:v>444172</x:v>
      </x:c>
      <x:c r="J57" s="3" t="n">
        <x:v>861540</x:v>
      </x:c>
      <x:c r="K57" s="2" t="n">
        <x:f>RANK(J57,$J$2:$J$78,0)+COUNTIFS($J$2:J57,J57)-1</x:f>
        <x:v>27</x:v>
      </x:c>
    </x:row>
    <x:row r="58" ht="24" customHeight="1">
      <x:c r="A58" s="2" t="str">
        <x:v>กาญจนบุรี</x:v>
      </x:c>
      <x:c r="B58" s="3" t="n">
        <x:v>406030</x:v>
      </x:c>
      <x:c r="C58" s="3" t="n">
        <x:v>412650</x:v>
      </x:c>
      <x:c r="D58" s="3" t="n">
        <x:v>818680</x:v>
      </x:c>
      <x:c r="E58" s="3" t="n">
        <x:v>41248</x:v>
      </x:c>
      <x:c r="F58" s="3" t="n">
        <x:v>36728</x:v>
      </x:c>
      <x:c r="G58" s="3" t="n">
        <x:v>77976</x:v>
      </x:c>
      <x:c r="H58" s="3" t="n">
        <x:v>447278</x:v>
      </x:c>
      <x:c r="I58" s="3" t="n">
        <x:v>449378</x:v>
      </x:c>
      <x:c r="J58" s="3" t="n">
        <x:v>896656</x:v>
      </x:c>
      <x:c r="K58" s="2" t="n">
        <x:f>RANK(J58,$J$2:$J$78,0)+COUNTIFS($J$2:J58,J58)-1</x:f>
        <x:v>26</x:v>
      </x:c>
    </x:row>
    <x:row r="59" ht="24" customHeight="1">
      <x:c r="A59" s="2" t="str">
        <x:v>สุพรรณบุรี</x:v>
      </x:c>
      <x:c r="B59" s="3" t="n">
        <x:v>391519</x:v>
      </x:c>
      <x:c r="C59" s="3" t="n">
        <x:v>423166</x:v>
      </x:c>
      <x:c r="D59" s="3" t="n">
        <x:v>814685</x:v>
      </x:c>
      <x:c r="E59" s="3" t="n">
        <x:v>1492</x:v>
      </x:c>
      <x:c r="F59" s="3" t="n">
        <x:v>1260</x:v>
      </x:c>
      <x:c r="G59" s="3" t="n">
        <x:v>2752</x:v>
      </x:c>
      <x:c r="H59" s="3" t="n">
        <x:v>393011</x:v>
      </x:c>
      <x:c r="I59" s="3" t="n">
        <x:v>424426</x:v>
      </x:c>
      <x:c r="J59" s="3" t="n">
        <x:v>817437</x:v>
      </x:c>
      <x:c r="K59" s="2" t="n">
        <x:f>RANK(J59,$J$2:$J$78,0)+COUNTIFS($J$2:J59,J59)-1</x:f>
        <x:v>31</x:v>
      </x:c>
    </x:row>
    <x:row r="60" ht="24" customHeight="1">
      <x:c r="A60" s="2" t="str">
        <x:v>นครปฐม</x:v>
      </x:c>
      <x:c r="B60" s="3" t="n">
        <x:v>437666</x:v>
      </x:c>
      <x:c r="C60" s="3" t="n">
        <x:v>477228</x:v>
      </x:c>
      <x:c r="D60" s="3" t="n">
        <x:v>914894</x:v>
      </x:c>
      <x:c r="E60" s="3" t="n">
        <x:v>5835</x:v>
      </x:c>
      <x:c r="F60" s="3" t="n">
        <x:v>5515</x:v>
      </x:c>
      <x:c r="G60" s="3" t="n">
        <x:v>11350</x:v>
      </x:c>
      <x:c r="H60" s="3" t="n">
        <x:v>443501</x:v>
      </x:c>
      <x:c r="I60" s="3" t="n">
        <x:v>482743</x:v>
      </x:c>
      <x:c r="J60" s="3" t="n">
        <x:v>926244</x:v>
      </x:c>
      <x:c r="K60" s="2" t="n">
        <x:f>RANK(J60,$J$2:$J$78,0)+COUNTIFS($J$2:J60,J60)-1</x:f>
        <x:v>24</x:v>
      </x:c>
    </x:row>
    <x:row r="61" ht="24" customHeight="1">
      <x:c r="A61" s="2" t="str">
        <x:v>สมุทรสาคร</x:v>
      </x:c>
      <x:c r="B61" s="3" t="n">
        <x:v>271189</x:v>
      </x:c>
      <x:c r="C61" s="3" t="n">
        <x:v>296969</x:v>
      </x:c>
      <x:c r="D61" s="3" t="n">
        <x:v>568158</x:v>
      </x:c>
      <x:c r="E61" s="3" t="n">
        <x:v>9859</x:v>
      </x:c>
      <x:c r="F61" s="3" t="n">
        <x:v>8902</x:v>
      </x:c>
      <x:c r="G61" s="3" t="n">
        <x:v>18761</x:v>
      </x:c>
      <x:c r="H61" s="3" t="n">
        <x:v>281048</x:v>
      </x:c>
      <x:c r="I61" s="3" t="n">
        <x:v>305871</x:v>
      </x:c>
      <x:c r="J61" s="3" t="n">
        <x:v>586919</x:v>
      </x:c>
      <x:c r="K61" s="2" t="n">
        <x:f>RANK(J61,$J$2:$J$78,0)+COUNTIFS($J$2:J61,J61)-1</x:f>
        <x:v>43</x:v>
      </x:c>
    </x:row>
    <x:row r="62" ht="24" customHeight="1">
      <x:c r="A62" s="2" t="str">
        <x:v>สมุทรสงคราม</x:v>
      </x:c>
      <x:c r="B62" s="3" t="n">
        <x:v>87451</x:v>
      </x:c>
      <x:c r="C62" s="3" t="n">
        <x:v>96341</x:v>
      </x:c>
      <x:c r="D62" s="3" t="n">
        <x:v>183792</x:v>
      </x:c>
      <x:c r="E62" s="3" t="n">
        <x:v>675</x:v>
      </x:c>
      <x:c r="F62" s="3" t="n">
        <x:v>658</x:v>
      </x:c>
      <x:c r="G62" s="3" t="n">
        <x:v>1333</x:v>
      </x:c>
      <x:c r="H62" s="3" t="n">
        <x:v>88126</x:v>
      </x:c>
      <x:c r="I62" s="3" t="n">
        <x:v>96999</x:v>
      </x:c>
      <x:c r="J62" s="3" t="n">
        <x:v>185125</x:v>
      </x:c>
      <x:c r="K62" s="2" t="n">
        <x:f>RANK(J62,$J$2:$J$78,0)+COUNTIFS($J$2:J62,J62)-1</x:f>
        <x:v>77</x:v>
      </x:c>
    </x:row>
    <x:row r="63" ht="24" customHeight="1">
      <x:c r="A63" s="2" t="str">
        <x:v>เพชรบุรี</x:v>
      </x:c>
      <x:c r="B63" s="3" t="n">
        <x:v>230140</x:v>
      </x:c>
      <x:c r="C63" s="3" t="n">
        <x:v>249429</x:v>
      </x:c>
      <x:c r="D63" s="3" t="n">
        <x:v>479569</x:v>
      </x:c>
      <x:c r="E63" s="3" t="n">
        <x:v>2691</x:v>
      </x:c>
      <x:c r="F63" s="3" t="n">
        <x:v>1752</x:v>
      </x:c>
      <x:c r="G63" s="3" t="n">
        <x:v>4443</x:v>
      </x:c>
      <x:c r="H63" s="3" t="n">
        <x:v>232831</x:v>
      </x:c>
      <x:c r="I63" s="3" t="n">
        <x:v>251181</x:v>
      </x:c>
      <x:c r="J63" s="3" t="n">
        <x:v>484012</x:v>
      </x:c>
      <x:c r="K63" s="2" t="n">
        <x:f>RANK(J63,$J$2:$J$78,0)+COUNTIFS($J$2:J63,J63)-1</x:f>
        <x:v>57</x:v>
      </x:c>
    </x:row>
    <x:row r="64" ht="24" customHeight="1">
      <x:c r="A64" s="2" t="str">
        <x:v>ประจวบคีรีขันธ์</x:v>
      </x:c>
      <x:c r="B64" s="3" t="n">
        <x:v>260890</x:v>
      </x:c>
      <x:c r="C64" s="3" t="n">
        <x:v>277305</x:v>
      </x:c>
      <x:c r="D64" s="3" t="n">
        <x:v>538195</x:v>
      </x:c>
      <x:c r="E64" s="3" t="n">
        <x:v>8515</x:v>
      </x:c>
      <x:c r="F64" s="3" t="n">
        <x:v>4784</x:v>
      </x:c>
      <x:c r="G64" s="3" t="n">
        <x:v>13299</x:v>
      </x:c>
      <x:c r="H64" s="3" t="n">
        <x:v>269405</x:v>
      </x:c>
      <x:c r="I64" s="3" t="n">
        <x:v>282089</x:v>
      </x:c>
      <x:c r="J64" s="3" t="n">
        <x:v>551494</x:v>
      </x:c>
      <x:c r="K64" s="2" t="n">
        <x:f>RANK(J64,$J$2:$J$78,0)+COUNTIFS($J$2:J64,J64)-1</x:f>
        <x:v>47</x:v>
      </x:c>
    </x:row>
    <x:row r="65" ht="24" customHeight="1">
      <x:c r="A65" s="2" t="str">
        <x:v>นครศรีธรรมราช</x:v>
      </x:c>
      <x:c r="B65" s="3" t="n">
        <x:v>753017</x:v>
      </x:c>
      <x:c r="C65" s="3" t="n">
        <x:v>774030</x:v>
      </x:c>
      <x:c r="D65" s="3" t="n">
        <x:v>1527047</x:v>
      </x:c>
      <x:c r="E65" s="3" t="n">
        <x:v>1607</x:v>
      </x:c>
      <x:c r="F65" s="3" t="n">
        <x:v>1240</x:v>
      </x:c>
      <x:c r="G65" s="3" t="n">
        <x:v>2847</x:v>
      </x:c>
      <x:c r="H65" s="3" t="n">
        <x:v>754624</x:v>
      </x:c>
      <x:c r="I65" s="3" t="n">
        <x:v>775270</x:v>
      </x:c>
      <x:c r="J65" s="3" t="n">
        <x:v>1529894</x:v>
      </x:c>
      <x:c r="K65" s="2" t="n">
        <x:f>RANK(J65,$J$2:$J$78,0)+COUNTIFS($J$2:J65,J65)-1</x:f>
        <x:v>9</x:v>
      </x:c>
    </x:row>
    <x:row r="66" ht="24" customHeight="1">
      <x:c r="A66" s="2" t="str">
        <x:v>กระบี่</x:v>
      </x:c>
      <x:c r="B66" s="3" t="n">
        <x:v>239597</x:v>
      </x:c>
      <x:c r="C66" s="3" t="n">
        <x:v>243232</x:v>
      </x:c>
      <x:c r="D66" s="3" t="n">
        <x:v>482829</x:v>
      </x:c>
      <x:c r="E66" s="3" t="n">
        <x:v>1196</x:v>
      </x:c>
      <x:c r="F66" s="3" t="n">
        <x:v>881</x:v>
      </x:c>
      <x:c r="G66" s="3" t="n">
        <x:v>2077</x:v>
      </x:c>
      <x:c r="H66" s="3" t="n">
        <x:v>240793</x:v>
      </x:c>
      <x:c r="I66" s="3" t="n">
        <x:v>244113</x:v>
      </x:c>
      <x:c r="J66" s="3" t="n">
        <x:v>484906</x:v>
      </x:c>
      <x:c r="K66" s="2" t="n">
        <x:f>RANK(J66,$J$2:$J$78,0)+COUNTIFS($J$2:J66,J66)-1</x:f>
        <x:v>56</x:v>
      </x:c>
    </x:row>
    <x:row r="67" ht="24" customHeight="1">
      <x:c r="A67" s="2" t="str">
        <x:v>พังงา</x:v>
      </x:c>
      <x:c r="B67" s="3" t="n">
        <x:v>130759</x:v>
      </x:c>
      <x:c r="C67" s="3" t="n">
        <x:v>131597</x:v>
      </x:c>
      <x:c r="D67" s="3" t="n">
        <x:v>262356</x:v>
      </x:c>
      <x:c r="E67" s="3" t="n">
        <x:v>1721</x:v>
      </x:c>
      <x:c r="F67" s="3" t="n">
        <x:v>1486</x:v>
      </x:c>
      <x:c r="G67" s="3" t="n">
        <x:v>3207</x:v>
      </x:c>
      <x:c r="H67" s="3" t="n">
        <x:v>132480</x:v>
      </x:c>
      <x:c r="I67" s="3" t="n">
        <x:v>133083</x:v>
      </x:c>
      <x:c r="J67" s="3" t="n">
        <x:v>265563</x:v>
      </x:c>
      <x:c r="K67" s="2" t="n">
        <x:f>RANK(J67,$J$2:$J$78,0)+COUNTIFS($J$2:J67,J67)-1</x:f>
        <x:v>72</x:v>
      </x:c>
    </x:row>
    <x:row r="68" ht="24" customHeight="1">
      <x:c r="A68" s="2" t="str">
        <x:v>ภูเก็ต</x:v>
      </x:c>
      <x:c r="B68" s="3" t="n">
        <x:v>197725</x:v>
      </x:c>
      <x:c r="C68" s="3" t="n">
        <x:v>225878</x:v>
      </x:c>
      <x:c r="D68" s="3" t="n">
        <x:v>423603</x:v>
      </x:c>
      <x:c r="E68" s="3" t="n">
        <x:v>5595</x:v>
      </x:c>
      <x:c r="F68" s="3" t="n">
        <x:v>3705</x:v>
      </x:c>
      <x:c r="G68" s="3" t="n">
        <x:v>9300</x:v>
      </x:c>
      <x:c r="H68" s="3" t="n">
        <x:v>203320</x:v>
      </x:c>
      <x:c r="I68" s="3" t="n">
        <x:v>229583</x:v>
      </x:c>
      <x:c r="J68" s="3" t="n">
        <x:v>432903</x:v>
      </x:c>
      <x:c r="K68" s="2" t="n">
        <x:f>RANK(J68,$J$2:$J$78,0)+COUNTIFS($J$2:J68,J68)-1</x:f>
        <x:v>61</x:v>
      </x:c>
    </x:row>
    <x:row r="69" ht="24" customHeight="1">
      <x:c r="A69" s="2" t="str">
        <x:v>สุราษฎร์ธานี</x:v>
      </x:c>
      <x:c r="B69" s="3" t="n">
        <x:v>522521</x:v>
      </x:c>
      <x:c r="C69" s="3" t="n">
        <x:v>542923</x:v>
      </x:c>
      <x:c r="D69" s="3" t="n">
        <x:v>1065444</x:v>
      </x:c>
      <x:c r="E69" s="3" t="n">
        <x:v>6222</x:v>
      </x:c>
      <x:c r="F69" s="3" t="n">
        <x:v>4244</x:v>
      </x:c>
      <x:c r="G69" s="3" t="n">
        <x:v>10466</x:v>
      </x:c>
      <x:c r="H69" s="3" t="n">
        <x:v>528743</x:v>
      </x:c>
      <x:c r="I69" s="3" t="n">
        <x:v>547167</x:v>
      </x:c>
      <x:c r="J69" s="3" t="n">
        <x:v>1075910</x:v>
      </x:c>
      <x:c r="K69" s="2" t="n">
        <x:f>RANK(J69,$J$2:$J$78,0)+COUNTIFS($J$2:J69,J69)-1</x:f>
        <x:v>20</x:v>
      </x:c>
    </x:row>
    <x:row r="70" ht="24" customHeight="1">
      <x:c r="A70" s="2" t="str">
        <x:v>ระนอง</x:v>
      </x:c>
      <x:c r="B70" s="3" t="n">
        <x:v>90216</x:v>
      </x:c>
      <x:c r="C70" s="3" t="n">
        <x:v>89879</x:v>
      </x:c>
      <x:c r="D70" s="3" t="n">
        <x:v>180095</x:v>
      </x:c>
      <x:c r="E70" s="3" t="n">
        <x:v>6364</x:v>
      </x:c>
      <x:c r="F70" s="3" t="n">
        <x:v>5890</x:v>
      </x:c>
      <x:c r="G70" s="3" t="n">
        <x:v>12254</x:v>
      </x:c>
      <x:c r="H70" s="3" t="n">
        <x:v>96580</x:v>
      </x:c>
      <x:c r="I70" s="3" t="n">
        <x:v>95769</x:v>
      </x:c>
      <x:c r="J70" s="3" t="n">
        <x:v>192349</x:v>
      </x:c>
      <x:c r="K70" s="2" t="n">
        <x:f>RANK(J70,$J$2:$J$78,0)+COUNTIFS($J$2:J70,J70)-1</x:f>
        <x:v>76</x:v>
      </x:c>
    </x:row>
    <x:row r="71" ht="24" customHeight="1">
      <x:c r="A71" s="2" t="str">
        <x:v>ชุมพร</x:v>
      </x:c>
      <x:c r="B71" s="3" t="n">
        <x:v>247602</x:v>
      </x:c>
      <x:c r="C71" s="3" t="n">
        <x:v>255648</x:v>
      </x:c>
      <x:c r="D71" s="3" t="n">
        <x:v>503250</x:v>
      </x:c>
      <x:c r="E71" s="3" t="n">
        <x:v>1796</x:v>
      </x:c>
      <x:c r="F71" s="3" t="n">
        <x:v>1643</x:v>
      </x:c>
      <x:c r="G71" s="3" t="n">
        <x:v>3439</x:v>
      </x:c>
      <x:c r="H71" s="3" t="n">
        <x:v>249398</x:v>
      </x:c>
      <x:c r="I71" s="3" t="n">
        <x:v>257291</x:v>
      </x:c>
      <x:c r="J71" s="3" t="n">
        <x:v>506689</x:v>
      </x:c>
      <x:c r="K71" s="2" t="n">
        <x:f>RANK(J71,$J$2:$J$78,0)+COUNTIFS($J$2:J71,J71)-1</x:f>
        <x:v>53</x:v>
      </x:c>
    </x:row>
    <x:row r="72" ht="24" customHeight="1">
      <x:c r="A72" s="2" t="str">
        <x:v>สงขลา</x:v>
      </x:c>
      <x:c r="B72" s="3" t="n">
        <x:v>690152</x:v>
      </x:c>
      <x:c r="C72" s="3" t="n">
        <x:v>732044</x:v>
      </x:c>
      <x:c r="D72" s="3" t="n">
        <x:v>1422196</x:v>
      </x:c>
      <x:c r="E72" s="3" t="n">
        <x:v>3693</x:v>
      </x:c>
      <x:c r="F72" s="3" t="n">
        <x:v>3005</x:v>
      </x:c>
      <x:c r="G72" s="3" t="n">
        <x:v>6698</x:v>
      </x:c>
      <x:c r="H72" s="3" t="n">
        <x:v>693845</x:v>
      </x:c>
      <x:c r="I72" s="3" t="n">
        <x:v>735049</x:v>
      </x:c>
      <x:c r="J72" s="3" t="n">
        <x:v>1428894</x:v>
      </x:c>
      <x:c r="K72" s="2" t="n">
        <x:f>RANK(J72,$J$2:$J$78,0)+COUNTIFS($J$2:J72,J72)-1</x:f>
        <x:v>11</x:v>
      </x:c>
    </x:row>
    <x:row r="73" ht="24" customHeight="1">
      <x:c r="A73" s="2" t="str">
        <x:v>สตูล</x:v>
      </x:c>
      <x:c r="B73" s="3" t="n">
        <x:v>161092</x:v>
      </x:c>
      <x:c r="C73" s="3" t="n">
        <x:v>162950</x:v>
      </x:c>
      <x:c r="D73" s="3" t="n">
        <x:v>324042</x:v>
      </x:c>
      <x:c r="E73" s="3" t="n">
        <x:v>256</x:v>
      </x:c>
      <x:c r="F73" s="3" t="n">
        <x:v>190</x:v>
      </x:c>
      <x:c r="G73" s="3" t="n">
        <x:v>446</x:v>
      </x:c>
      <x:c r="H73" s="3" t="n">
        <x:v>161348</x:v>
      </x:c>
      <x:c r="I73" s="3" t="n">
        <x:v>163140</x:v>
      </x:c>
      <x:c r="J73" s="3" t="n">
        <x:v>324488</x:v>
      </x:c>
      <x:c r="K73" s="2" t="n">
        <x:f>RANK(J73,$J$2:$J$78,0)+COUNTIFS($J$2:J73,J73)-1</x:f>
        <x:v>67</x:v>
      </x:c>
    </x:row>
    <x:row r="74" ht="24" customHeight="1">
      <x:c r="A74" s="2" t="str">
        <x:v>ตรัง</x:v>
      </x:c>
      <x:c r="B74" s="3" t="n">
        <x:v>308343</x:v>
      </x:c>
      <x:c r="C74" s="3" t="n">
        <x:v>323574</x:v>
      </x:c>
      <x:c r="D74" s="3" t="n">
        <x:v>631917</x:v>
      </x:c>
      <x:c r="E74" s="3" t="n">
        <x:v>699</x:v>
      </x:c>
      <x:c r="F74" s="3" t="n">
        <x:v>580</x:v>
      </x:c>
      <x:c r="G74" s="3" t="n">
        <x:v>1279</x:v>
      </x:c>
      <x:c r="H74" s="3" t="n">
        <x:v>309042</x:v>
      </x:c>
      <x:c r="I74" s="3" t="n">
        <x:v>324154</x:v>
      </x:c>
      <x:c r="J74" s="3" t="n">
        <x:v>633196</x:v>
      </x:c>
      <x:c r="K74" s="2" t="n">
        <x:f>RANK(J74,$J$2:$J$78,0)+COUNTIFS($J$2:J74,J74)-1</x:f>
        <x:v>41</x:v>
      </x:c>
    </x:row>
    <x:row r="75" ht="24" customHeight="1">
      <x:c r="A75" s="2" t="str">
        <x:v>พัทลุง</x:v>
      </x:c>
      <x:c r="B75" s="3" t="n">
        <x:v>251370</x:v>
      </x:c>
      <x:c r="C75" s="3" t="n">
        <x:v>266181</x:v>
      </x:c>
      <x:c r="D75" s="3" t="n">
        <x:v>517551</x:v>
      </x:c>
      <x:c r="E75" s="3" t="n">
        <x:v>200</x:v>
      </x:c>
      <x:c r="F75" s="3" t="n">
        <x:v>135</x:v>
      </x:c>
      <x:c r="G75" s="3" t="n">
        <x:v>335</x:v>
      </x:c>
      <x:c r="H75" s="3" t="n">
        <x:v>251570</x:v>
      </x:c>
      <x:c r="I75" s="3" t="n">
        <x:v>266316</x:v>
      </x:c>
      <x:c r="J75" s="3" t="n">
        <x:v>517886</x:v>
      </x:c>
      <x:c r="K75" s="2" t="n">
        <x:f>RANK(J75,$J$2:$J$78,0)+COUNTIFS($J$2:J75,J75)-1</x:f>
        <x:v>50</x:v>
      </x:c>
    </x:row>
    <x:row r="76" ht="24" customHeight="1">
      <x:c r="A76" s="2" t="str">
        <x:v>ปัตตานี</x:v>
      </x:c>
      <x:c r="B76" s="3" t="n">
        <x:v>368045</x:v>
      </x:c>
      <x:c r="C76" s="3" t="n">
        <x:v>376014</x:v>
      </x:c>
      <x:c r="D76" s="3" t="n">
        <x:v>744059</x:v>
      </x:c>
      <x:c r="E76" s="3" t="n">
        <x:v>711</x:v>
      </x:c>
      <x:c r="F76" s="3" t="n">
        <x:v>652</x:v>
      </x:c>
      <x:c r="G76" s="3" t="n">
        <x:v>1363</x:v>
      </x:c>
      <x:c r="H76" s="3" t="n">
        <x:v>368756</x:v>
      </x:c>
      <x:c r="I76" s="3" t="n">
        <x:v>376666</x:v>
      </x:c>
      <x:c r="J76" s="3" t="n">
        <x:v>745422</x:v>
      </x:c>
      <x:c r="K76" s="2" t="n">
        <x:f>RANK(J76,$J$2:$J$78,0)+COUNTIFS($J$2:J76,J76)-1</x:f>
        <x:v>33</x:v>
      </x:c>
    </x:row>
    <x:row r="77" ht="24" customHeight="1">
      <x:c r="A77" s="2" t="str">
        <x:v>ยะลา</x:v>
      </x:c>
      <x:c r="B77" s="3" t="n">
        <x:v>275765</x:v>
      </x:c>
      <x:c r="C77" s="3" t="n">
        <x:v>278925</x:v>
      </x:c>
      <x:c r="D77" s="3" t="n">
        <x:v>554690</x:v>
      </x:c>
      <x:c r="E77" s="3" t="n">
        <x:v>799</x:v>
      </x:c>
      <x:c r="F77" s="3" t="n">
        <x:v>820</x:v>
      </x:c>
      <x:c r="G77" s="3" t="n">
        <x:v>1619</x:v>
      </x:c>
      <x:c r="H77" s="3" t="n">
        <x:v>276564</x:v>
      </x:c>
      <x:c r="I77" s="3" t="n">
        <x:v>279745</x:v>
      </x:c>
      <x:c r="J77" s="3" t="n">
        <x:v>556309</x:v>
      </x:c>
      <x:c r="K77" s="2" t="n">
        <x:f>RANK(J77,$J$2:$J$78,0)+COUNTIFS($J$2:J77,J77)-1</x:f>
        <x:v>46</x:v>
      </x:c>
    </x:row>
    <x:row r="78" ht="24" customHeight="1">
      <x:c r="A78" s="2" t="str">
        <x:v>นราธิวาส</x:v>
      </x:c>
      <x:c r="B78" s="3" t="n">
        <x:v>409211</x:v>
      </x:c>
      <x:c r="C78" s="3" t="n">
        <x:v>418212</x:v>
      </x:c>
      <x:c r="D78" s="3" t="n">
        <x:v>827423</x:v>
      </x:c>
      <x:c r="E78" s="3" t="n">
        <x:v>618</x:v>
      </x:c>
      <x:c r="F78" s="3" t="n">
        <x:v>518</x:v>
      </x:c>
      <x:c r="G78" s="3" t="n">
        <x:v>1136</x:v>
      </x:c>
      <x:c r="H78" s="3" t="n">
        <x:v>409829</x:v>
      </x:c>
      <x:c r="I78" s="3" t="n">
        <x:v>418730</x:v>
      </x:c>
      <x:c r="J78" s="3" t="n">
        <x:v>828559</x:v>
      </x:c>
      <x:c r="K78" s="2" t="n">
        <x:f>RANK(J78,$J$2:$J$78,0)+COUNTIFS($J$2:J78,J78)-1</x:f>
        <x:v>29</x:v>
      </x:c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24" customHeight="1">
      <x:c r="A81" s="2" t="str">
        <x:v>แหล่งข้อมูล</x:v>
      </x:c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30" customHeight="1">
      <x:c r="A82" s="12" t="str">
        <x:v>สถิติจำนวนประชากร_พื้นที่ ทั่วประเทศ.xlsx | Cleansed Data | มกราคม 2569</x:v>
      </x:c>
      <x:c r="B82" s="12"/>
      <x:c r="C82" s="12"/>
      <x:c r="D82" s="12"/>
      <x:c r="E82" s="12"/>
      <x:c r="F82" s="12"/>
      <x:c r="G82" s="12"/>
      <x:c r="H82" s="12"/>
      <x:c r="I82" s="12"/>
      <x:c r="J82" s="12"/>
      <x:c r="K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</x:sheetData>
  <x:mergeCells>
    <x:mergeCell ref="A82:J82"/>
  </x:mergeCells>
  <x:pageMargins left="0.7" right="0.7" top="0.75" bottom="0.75" header="0.3" footer="0.3"/>
</x:worksheet>
</file>