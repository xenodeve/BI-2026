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hub\BI 2026\Workshop 3 What if Analysis in Excel\"/>
    </mc:Choice>
  </mc:AlternateContent>
  <xr:revisionPtr revIDLastSave="0" documentId="13_ncr:1_{3361996F-FC6F-4E98-ADC6-ABC554DA4991}" xr6:coauthVersionLast="47" xr6:coauthVersionMax="47" xr10:uidLastSave="{00000000-0000-0000-0000-000000000000}"/>
  <bookViews>
    <workbookView xWindow="29925" yWindow="1185" windowWidth="21600" windowHeight="11295" xr2:uid="{00000000-000D-0000-FFFF-FFFF00000000}"/>
  </bookViews>
  <sheets>
    <sheet name="Goal Seek" sheetId="1" r:id="rId1"/>
    <sheet name="Scenario" sheetId="2" r:id="rId2"/>
    <sheet name="Scenario Summary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F9" i="3" s="1"/>
  <c r="G9" i="3" s="1"/>
  <c r="H9" i="3" s="1"/>
  <c r="E8" i="3"/>
  <c r="D8" i="3"/>
  <c r="E7" i="3"/>
  <c r="D7" i="3"/>
  <c r="E6" i="3"/>
  <c r="D6" i="3"/>
  <c r="B14" i="2"/>
  <c r="B13" i="2"/>
  <c r="B11" i="2"/>
  <c r="B12" i="2" s="1"/>
  <c r="B16" i="2" s="1"/>
  <c r="B17" i="2" s="1"/>
  <c r="B18" i="2" s="1"/>
  <c r="B14" i="1"/>
  <c r="B23" i="1" s="1"/>
  <c r="B13" i="1"/>
  <c r="B11" i="1"/>
  <c r="B12" i="1" s="1"/>
  <c r="F7" i="3" l="1"/>
  <c r="G7" i="3" s="1"/>
  <c r="H7" i="3" s="1"/>
  <c r="F6" i="3"/>
  <c r="G6" i="3" s="1"/>
  <c r="H6" i="3" s="1"/>
  <c r="F8" i="3"/>
  <c r="G8" i="3" s="1"/>
  <c r="H8" i="3" s="1"/>
  <c r="B16" i="1"/>
  <c r="B17" i="1" s="1"/>
  <c r="B19" i="1"/>
  <c r="B20" i="1" s="1"/>
  <c r="B21" i="1" s="1"/>
</calcChain>
</file>

<file path=xl/sharedStrings.xml><?xml version="1.0" encoding="utf-8"?>
<sst xmlns="http://schemas.openxmlformats.org/spreadsheetml/2006/main" count="80" uniqueCount="61">
  <si>
    <t>Goal Seek | ราคารถที่ผ่อนไหว</t>
  </si>
  <si>
    <t>ข้อมูลที่ปรับได้</t>
  </si>
  <si>
    <t>ค่า</t>
  </si>
  <si>
    <t>ราคารถ (บาท)</t>
  </si>
  <si>
    <t>สมมติฐานหลัก: ลดต้นลดดอก อัตราดอกเบี้ยรายเดือน = อัตรารายปี / 12</t>
  </si>
  <si>
    <t>เงินดาวน์ (%)</t>
  </si>
  <si>
    <t>ดอกเบี้ยต่อปี</t>
  </si>
  <si>
    <t>ระยะเวลากู้ (ปี)</t>
  </si>
  <si>
    <t>จ่ายทุกสิ้นเดือน (type = 0), ยอดหนี้ปลายสัญญา 0 บาท ไม่มีค่าธรรมเนียมหรือประกัน</t>
  </si>
  <si>
    <t>ค่างวดสูงสุด (บาท/เดือน)</t>
  </si>
  <si>
    <t>เงินดาวน์ (บาท)</t>
  </si>
  <si>
    <t>เซลล์สีเหลืองและตัวเลขสีน้ำเงินคือ input ที่แก้ไขได้</t>
  </si>
  <si>
    <t>ยอดเงินกู้ (บาท)</t>
  </si>
  <si>
    <t>อัตราดอกเบี้ยต่อเดือน</t>
  </si>
  <si>
    <t>จำนวนงวด (เดือน)</t>
  </si>
  <si>
    <t>Goal Seek: Set cell B16 / To value 10000 / By changing cell B5</t>
  </si>
  <si>
    <t>ค่างวด (บาท/เดือน)</t>
  </si>
  <si>
    <t>เทียบค่างวดสูงสุด (บาท)</t>
  </si>
  <si>
    <t>B19 เป็นคำตอบอิสระจาก PV เพื่อเทียบผล Goal Seek; B21 ควรใกล้ 0</t>
  </si>
  <si>
    <t>ราคารถจากสูตรย้อนกลับ (บาท)</t>
  </si>
  <si>
    <t>ค่างวดที่ราคารถคำตอบ (บาท)</t>
  </si>
  <si>
    <t>ผลต่างค่างวดเทียบเป้าหมาย</t>
  </si>
  <si>
    <t>สไลด์ไม่ได้ระบุรูปแบบดอกเบี้ย จึงแสดงดอกเบี้ยคงต้นใน B23 แยกจากคำตอบหลัก</t>
  </si>
  <si>
    <t>ราคารถเมื่อใช้ดอกเบี้ยคงต้น</t>
  </si>
  <si>
    <t>แหล่งโจทย์: Presentation/BI04 Models for DS and BI.pdf หน้า PDF 4 / สไลด์ 16 (4.1 Goal Seek)</t>
  </si>
  <si>
    <t>ใช้ตัวอย่างสไลด์ตามขอบเขตที่อนุมัติ; Classroom มีชื่อ Workshop และไม่มีรายละเอียดเฉพาะ</t>
  </si>
  <si>
    <t>Scenario | เปรียบเทียบสินเชื่อบ้าน</t>
  </si>
  <si>
    <t>ราคาบ้าน (บาท)</t>
  </si>
  <si>
    <t>สมมติฐาน: ลดต้นลดดอก อัตรารายปี / 12 จ่ายทุกสิ้นเดือน (type = 0)</t>
  </si>
  <si>
    <t>ผลจากโมเดลที่กำลังเลือกอยู่แสดงใน B16; เปลี่ยนราคา B5 และระยะเวลา B8</t>
  </si>
  <si>
    <t>Scenario Manager: changing cells B5,B8 / result cell B16</t>
  </si>
  <si>
    <t>ยอดชำระรวม (บาท)</t>
  </si>
  <si>
    <t>ดอกเบี้ยตลอดสัญญา (บาท)</t>
  </si>
  <si>
    <t>ผลคำนวณเปรียบเทียบจากโมเดลเดียวกัน (snapshot); ใช้ Scenario Summary ใน Excel เพื่อสร้างผล native</t>
  </si>
  <si>
    <t>ชื่อสถานการณ์</t>
  </si>
  <si>
    <t>ปี</t>
  </si>
  <si>
    <t>เงินกู้ (บาท)</t>
  </si>
  <si>
    <t>ค่างวด (บาท)</t>
  </si>
  <si>
    <t>ยอดชำระรวม</t>
  </si>
  <si>
    <t>ดอกเบี้ยรวม</t>
  </si>
  <si>
    <t>200k_15y</t>
  </si>
  <si>
    <t>200k_30y</t>
  </si>
  <si>
    <t>300k_15y</t>
  </si>
  <si>
    <t>300k_30y</t>
  </si>
  <si>
    <t>ราคาเดิม: กู้ 30 ปีทำให้ค่างวดต่อเดือนต่ำลง แต่ยอดดอกเบี้ยตลอดสัญญาสูงขึ้น</t>
  </si>
  <si>
    <t>แหล่งโจทย์: Presentation/BI04 Models for DS and BI.pdf หน้า PDF 5 / สไลด์ 17 (4.2 Scenario)</t>
  </si>
  <si>
    <t>ผลB5ปัจจุบันเป็น mathematical solver. เมื่อเปิด Excel ให้ทดสอบ Goal Seek: Set B16, To10000, Change B5 แล้วเก็บหลักฐานจริง</t>
  </si>
  <si>
    <t>ก่อนแก้: Native B5=400,000 และ PMT≈9,400. ตั้ง B5 เป็น425,531.920569855ด้วยสูตร PV ทางคณิตศาสตร์; ยังไม่ได้ใช้ native Goal Seek dialog</t>
  </si>
  <si>
    <t>มี4Scenario Manager entriesแล้ว:200k_15y/200k_30y/300k_15y/300k_30y. Result B16; Native Show/Summaryยังรอตรวจ</t>
  </si>
  <si>
    <t>ตารางsnapshotเดิมคงไว้. ชีตScenario Summaryใหม่มีสูตรที่linkเงินดาวน์/อัตราจากB6/B7และคำนวณ4กรณี; ไม่ใช่Summarydialog-generated</t>
  </si>
  <si>
    <t>มี4Scenario Manager definitionsในไฟล์แล้ว (SpreadsheetML B5,B8); ยังไม่ได้ native Show หรือสร้าง Summary dialog. ชีต Scenario Summary เป็น authored comparison</t>
  </si>
  <si>
    <t>Scenario Summary (authored comparison)</t>
  </si>
  <si>
    <t>ตารางเปรียบเทียบเขียนเองพร้อมสูตรและcached values; ไม่ใช่ native Scenario Summary dialog-generated</t>
  </si>
  <si>
    <t>สถานการณ์</t>
  </si>
  <si>
    <t>เงินดาวน์</t>
  </si>
  <si>
    <t>ดอกเบี้ย/ปี</t>
  </si>
  <si>
    <t>ค่างวด/เดือน (บาท)</t>
  </si>
  <si>
    <t>ดอกเบี้ยรวม (บาท)</t>
  </si>
  <si>
    <t>Inputsราคา/ปีในตารางเป็น4กรณีที่กำหนด. เงินดาวน์และดอกเบี้ยlinkจากScenario!B6/B7 จึงเปลี่ยนผลคำนวณทั้ง4แถวเมื่อแก้ assumptions.</t>
  </si>
  <si>
    <t>Scenario Manager definitionsใช้Scenario!B5,B8; native Show และSummarydialogยังรอตรวจในExcel. ไม่มีการใช้COM/VBA/GUIเพื่อสร้างหลักฐาน.</t>
  </si>
  <si>
    <t>ลดต้นลดดอก: rateรายปี/12, nper=ปี×12, จ่ายสิ้นเดือน(type0), fv0. PMTไม่รวมเงินดาวน์ ค่าธรรมเนียมหรือประกัน.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</si>
</sst>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#,##0.00;\(#,##0.00\);&quot;-&quot;"/>
    <numFmt numFmtId="188" formatCode="0.0%"/>
  </numFmts>
  <fonts count="6">
    <font>
      <sz val="11"/>
      <name val="Carlito"/>
    </font>
    <font>
      <sz val="11"/>
      <color rgb="FF263442"/>
      <name val="Arial"/>
    </font>
    <font>
      <b/>
      <sz val="16"/>
      <color rgb="FF203A5F"/>
      <name val="Arial"/>
    </font>
    <font>
      <b/>
      <sz val="11"/>
      <color rgb="FFFFFFFF"/>
      <name val="Arial"/>
    </font>
    <font>
      <sz val="11"/>
      <color rgb="FF155BC1"/>
      <name val="Arial"/>
    </font>
    <font>
      <b/>
      <sz val="11"/>
      <color rgb="FF263442"/>
      <name val="Arial"/>
    </font>
  </fonts>
  <fills count="4">
    <fill>
      <patternFill patternType="none"/>
    </fill>
    <fill>
      <patternFill patternType="gray125"/>
    </fill>
    <fill>
      <patternFill patternType="solid">
        <fgColor rgb="FF203A5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187" fontId="4" fillId="3" borderId="0" xfId="0" applyNumberFormat="1" applyFont="1" applyFill="1" applyAlignment="1">
      <alignment vertical="center"/>
    </xf>
    <xf numFmtId="188" fontId="4" fillId="3" borderId="0" xfId="0" applyNumberFormat="1" applyFont="1" applyFill="1" applyAlignment="1">
      <alignment vertical="center"/>
    </xf>
    <xf numFmtId="1" fontId="4" fillId="3" borderId="0" xfId="0" applyNumberFormat="1" applyFont="1" applyFill="1" applyAlignment="1">
      <alignment vertical="center"/>
    </xf>
    <xf numFmtId="187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87" fontId="5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A5F"/>
  </sheetPr>
  <dimension ref="A1:J48"/>
  <sheetViews>
    <sheetView showGridLines="0" tabSelected="1" topLeftCell="A5" workbookViewId="0">
      <selection activeCell="B16" sqref="B16"/>
    </sheetView>
  </sheetViews>
  <sheetFormatPr defaultRowHeight="14.25"/>
  <cols>
    <col min="1" max="1" width="38" customWidth="1"/>
    <col min="2" max="2" width="22" customWidth="1"/>
    <col min="3" max="3" width="4" customWidth="1"/>
    <col min="4" max="10" width="15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 customHeight="1">
      <c r="A4" s="3" t="s">
        <v>1</v>
      </c>
      <c r="B4" s="3" t="s">
        <v>2</v>
      </c>
      <c r="C4" s="1"/>
      <c r="D4" s="1"/>
      <c r="E4" s="1"/>
      <c r="F4" s="1"/>
      <c r="G4" s="1"/>
      <c r="H4" s="1"/>
      <c r="I4" s="1"/>
      <c r="J4" s="1"/>
    </row>
    <row r="5" spans="1:10" ht="30" customHeight="1">
      <c r="A5" s="1" t="s">
        <v>3</v>
      </c>
      <c r="B5" s="4">
        <v>425531.92056985473</v>
      </c>
      <c r="C5" s="1"/>
      <c r="D5" s="12" t="s">
        <v>4</v>
      </c>
      <c r="E5" s="12"/>
      <c r="F5" s="12"/>
      <c r="G5" s="12"/>
      <c r="H5" s="12"/>
      <c r="I5" s="12"/>
      <c r="J5" s="12"/>
    </row>
    <row r="6" spans="1:10" ht="30" customHeight="1">
      <c r="A6" s="1" t="s">
        <v>5</v>
      </c>
      <c r="B6" s="5">
        <v>0.2</v>
      </c>
      <c r="C6" s="1"/>
      <c r="D6" s="12"/>
      <c r="E6" s="12"/>
      <c r="F6" s="12"/>
      <c r="G6" s="12"/>
      <c r="H6" s="12"/>
      <c r="I6" s="12"/>
      <c r="J6" s="12"/>
    </row>
    <row r="7" spans="1:10" ht="24" customHeight="1">
      <c r="A7" s="1" t="s">
        <v>6</v>
      </c>
      <c r="B7" s="5">
        <v>0.18</v>
      </c>
      <c r="C7" s="1"/>
      <c r="D7" s="1"/>
      <c r="E7" s="1"/>
      <c r="F7" s="1"/>
      <c r="G7" s="1"/>
      <c r="H7" s="1"/>
      <c r="I7" s="1"/>
      <c r="J7" s="1"/>
    </row>
    <row r="8" spans="1:10" ht="30" customHeight="1">
      <c r="A8" s="1" t="s">
        <v>7</v>
      </c>
      <c r="B8" s="6">
        <v>4</v>
      </c>
      <c r="C8" s="1"/>
      <c r="D8" s="12" t="s">
        <v>8</v>
      </c>
      <c r="E8" s="12"/>
      <c r="F8" s="12"/>
      <c r="G8" s="12"/>
      <c r="H8" s="12"/>
      <c r="I8" s="12"/>
      <c r="J8" s="12"/>
    </row>
    <row r="9" spans="1:10" ht="30" customHeight="1">
      <c r="A9" s="1" t="s">
        <v>9</v>
      </c>
      <c r="B9" s="4">
        <v>10000</v>
      </c>
      <c r="C9" s="1"/>
      <c r="D9" s="12"/>
      <c r="E9" s="12"/>
      <c r="F9" s="12"/>
      <c r="G9" s="12"/>
      <c r="H9" s="12"/>
      <c r="I9" s="12"/>
      <c r="J9" s="12"/>
    </row>
    <row r="10" spans="1:10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30" customHeight="1">
      <c r="A11" s="1" t="s">
        <v>10</v>
      </c>
      <c r="B11" s="7">
        <f>B5*B6</f>
        <v>85106.384113970955</v>
      </c>
      <c r="C11" s="1"/>
      <c r="D11" s="12" t="s">
        <v>11</v>
      </c>
      <c r="E11" s="12"/>
      <c r="F11" s="12"/>
      <c r="G11" s="12"/>
      <c r="H11" s="12"/>
      <c r="I11" s="12"/>
      <c r="J11" s="12"/>
    </row>
    <row r="12" spans="1:10" ht="30" customHeight="1">
      <c r="A12" s="1" t="s">
        <v>12</v>
      </c>
      <c r="B12" s="7">
        <f>B5-B11</f>
        <v>340425.53645588376</v>
      </c>
      <c r="C12" s="1"/>
      <c r="D12" s="12"/>
      <c r="E12" s="12"/>
      <c r="F12" s="12"/>
      <c r="G12" s="12"/>
      <c r="H12" s="12"/>
      <c r="I12" s="12"/>
      <c r="J12" s="12"/>
    </row>
    <row r="13" spans="1:10" ht="24" customHeight="1">
      <c r="A13" s="1" t="s">
        <v>13</v>
      </c>
      <c r="B13" s="8">
        <f>B7/12</f>
        <v>1.4999999999999999E-2</v>
      </c>
      <c r="C13" s="1"/>
      <c r="D13" s="1"/>
      <c r="E13" s="1"/>
      <c r="F13" s="1"/>
      <c r="G13" s="1"/>
      <c r="H13" s="1"/>
      <c r="I13" s="1"/>
      <c r="J13" s="1"/>
    </row>
    <row r="14" spans="1:10" ht="24" customHeight="1">
      <c r="A14" s="1" t="s">
        <v>14</v>
      </c>
      <c r="B14" s="9">
        <f>B8*12</f>
        <v>48</v>
      </c>
      <c r="C14" s="1"/>
      <c r="D14" s="1"/>
      <c r="E14" s="1"/>
      <c r="F14" s="1"/>
      <c r="G14" s="1"/>
      <c r="H14" s="1"/>
      <c r="I14" s="1"/>
      <c r="J14" s="1"/>
    </row>
    <row r="15" spans="1:10" ht="30" customHeight="1">
      <c r="A15" s="1"/>
      <c r="B15" s="7"/>
      <c r="C15" s="1"/>
      <c r="D15" s="12" t="s">
        <v>15</v>
      </c>
      <c r="E15" s="12"/>
      <c r="F15" s="12"/>
      <c r="G15" s="12"/>
      <c r="H15" s="12"/>
      <c r="I15" s="12"/>
      <c r="J15" s="12"/>
    </row>
    <row r="16" spans="1:10" ht="30" customHeight="1">
      <c r="A16" s="10" t="s">
        <v>16</v>
      </c>
      <c r="B16" s="11">
        <f>IF(COUNT(B5:B8)&lt;4,"ระบุ input ให้ครบ",IF(OR(B5&lt;0,B6&lt;0,B6&gt;=1,B7&lt;0,B8&lt;=0),"input ไม่ถูกต้อง",-PMT(B13,B14,B12,0,0)))</f>
        <v>9999.9999999999964</v>
      </c>
      <c r="C16" s="1"/>
      <c r="D16" s="12"/>
      <c r="E16" s="12"/>
      <c r="F16" s="12"/>
      <c r="G16" s="12"/>
      <c r="H16" s="12"/>
      <c r="I16" s="12"/>
      <c r="J16" s="12"/>
    </row>
    <row r="17" spans="1:10" ht="24" customHeight="1">
      <c r="A17" s="1" t="s">
        <v>17</v>
      </c>
      <c r="B17" s="7">
        <f>B16-B9</f>
        <v>0</v>
      </c>
      <c r="C17" s="1"/>
      <c r="D17" s="1"/>
      <c r="E17" s="1"/>
      <c r="F17" s="1"/>
      <c r="G17" s="1"/>
      <c r="H17" s="1"/>
      <c r="I17" s="1"/>
      <c r="J17" s="1"/>
    </row>
    <row r="18" spans="1:10" ht="30" customHeight="1">
      <c r="A18" s="1"/>
      <c r="B18" s="7"/>
      <c r="C18" s="1"/>
      <c r="D18" s="12" t="s">
        <v>18</v>
      </c>
      <c r="E18" s="12"/>
      <c r="F18" s="12"/>
      <c r="G18" s="12"/>
      <c r="H18" s="12"/>
      <c r="I18" s="12"/>
      <c r="J18" s="12"/>
    </row>
    <row r="19" spans="1:10" ht="30" customHeight="1">
      <c r="A19" s="1" t="s">
        <v>19</v>
      </c>
      <c r="B19" s="7">
        <f>IF(COUNT(B5:B9)&lt;5,"ระบุ input ให้ครบ",IF(OR(B6&lt;0,B6&gt;=1,B7&lt;0,B8&lt;=0,B9&lt;0),"input ไม่ถูกต้อง",-PV(B13,B14,B9,0,0)/(1-B6)))</f>
        <v>425531.92056985211</v>
      </c>
      <c r="C19" s="1"/>
      <c r="D19" s="12"/>
      <c r="E19" s="12"/>
      <c r="F19" s="12"/>
      <c r="G19" s="12"/>
      <c r="H19" s="12"/>
      <c r="I19" s="12"/>
      <c r="J19" s="12"/>
    </row>
    <row r="20" spans="1:10" ht="24" customHeight="1">
      <c r="A20" s="1" t="s">
        <v>20</v>
      </c>
      <c r="B20" s="7">
        <f>-PMT(B13,B14,B19*(1-B6),0,0)</f>
        <v>9999.9999999999345</v>
      </c>
      <c r="C20" s="1"/>
      <c r="D20" s="1"/>
      <c r="E20" s="1"/>
      <c r="F20" s="1"/>
      <c r="G20" s="1"/>
      <c r="H20" s="1"/>
      <c r="I20" s="1"/>
      <c r="J20" s="1"/>
    </row>
    <row r="21" spans="1:10" ht="24" customHeight="1">
      <c r="A21" s="1" t="s">
        <v>21</v>
      </c>
      <c r="B21" s="7">
        <f>B20-B9</f>
        <v>-6.5483618527650833E-11</v>
      </c>
      <c r="C21" s="1"/>
      <c r="D21" s="1"/>
      <c r="E21" s="1"/>
      <c r="F21" s="1"/>
      <c r="G21" s="1"/>
      <c r="H21" s="1"/>
      <c r="I21" s="1"/>
      <c r="J21" s="1"/>
    </row>
    <row r="22" spans="1:10" ht="30" customHeight="1">
      <c r="A22" s="1"/>
      <c r="B22" s="7"/>
      <c r="C22" s="1"/>
      <c r="D22" s="12" t="s">
        <v>22</v>
      </c>
      <c r="E22" s="12"/>
      <c r="F22" s="12"/>
      <c r="G22" s="12"/>
      <c r="H22" s="12"/>
      <c r="I22" s="12"/>
      <c r="J22" s="12"/>
    </row>
    <row r="23" spans="1:10" ht="30" customHeight="1">
      <c r="A23" s="1" t="s">
        <v>23</v>
      </c>
      <c r="B23" s="7">
        <f>B9*B14/((1-B6)*(1+B7*B8))</f>
        <v>348837.20930232556</v>
      </c>
      <c r="C23" s="1"/>
      <c r="D23" s="12"/>
      <c r="E23" s="12"/>
      <c r="F23" s="12"/>
      <c r="G23" s="12"/>
      <c r="H23" s="12"/>
      <c r="I23" s="12"/>
      <c r="J23" s="12"/>
    </row>
    <row r="24" spans="1:10" ht="30" customHeight="1">
      <c r="A24" s="1"/>
      <c r="B24" s="1"/>
      <c r="C24" s="1"/>
      <c r="D24" s="12"/>
      <c r="E24" s="12"/>
      <c r="F24" s="12"/>
      <c r="G24" s="12"/>
      <c r="H24" s="12"/>
      <c r="I24" s="12"/>
      <c r="J24" s="12"/>
    </row>
    <row r="25" spans="1:10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30" customHeight="1">
      <c r="A27" s="12" t="s">
        <v>46</v>
      </c>
      <c r="B27" s="12"/>
      <c r="C27" s="12"/>
      <c r="D27" s="12"/>
      <c r="E27" s="12"/>
      <c r="F27" s="12"/>
      <c r="G27" s="12"/>
      <c r="H27" s="12"/>
      <c r="I27" s="12"/>
      <c r="J27" s="12"/>
    </row>
    <row r="28" spans="1:10" ht="30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30" customHeight="1">
      <c r="A30" s="12" t="s">
        <v>47</v>
      </c>
      <c r="B30" s="12"/>
      <c r="C30" s="12"/>
      <c r="D30" s="12"/>
      <c r="E30" s="12"/>
      <c r="F30" s="12"/>
      <c r="G30" s="12"/>
      <c r="H30" s="12"/>
      <c r="I30" s="12"/>
      <c r="J30" s="12"/>
    </row>
    <row r="31" spans="1:10" ht="30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30" customHeight="1">
      <c r="A34" s="12" t="s">
        <v>24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ht="30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30" customHeight="1">
      <c r="A37" s="12" t="s">
        <v>25</v>
      </c>
      <c r="B37" s="12"/>
      <c r="C37" s="12"/>
      <c r="D37" s="12"/>
      <c r="E37" s="12"/>
      <c r="F37" s="12"/>
      <c r="G37" s="12"/>
      <c r="H37" s="12"/>
      <c r="I37" s="12"/>
      <c r="J37" s="12"/>
    </row>
    <row r="38" spans="1:10" ht="30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</sheetData>
  <mergeCells count="10">
    <mergeCell ref="D5:J6"/>
    <mergeCell ref="D8:J9"/>
    <mergeCell ref="D11:J12"/>
    <mergeCell ref="D15:J16"/>
    <mergeCell ref="D18:J19"/>
    <mergeCell ref="D22:J24"/>
    <mergeCell ref="A27:J28"/>
    <mergeCell ref="A30:J31"/>
    <mergeCell ref="A34:J35"/>
    <mergeCell ref="A37:J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778AE"/>
  </sheetPr>
  <dimension ref="A1:J48"/>
  <sheetViews>
    <sheetView showGridLines="0" workbookViewId="0"/>
  </sheetViews>
  <sheetFormatPr defaultRowHeight="14.25"/>
  <cols>
    <col min="1" max="1" width="38" customWidth="1"/>
    <col min="2" max="2" width="22" customWidth="1"/>
    <col min="3" max="3" width="9" customWidth="1"/>
    <col min="4" max="8" width="19" customWidth="1"/>
    <col min="9" max="10" width="15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26</v>
      </c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 customHeight="1">
      <c r="A4" s="3" t="s">
        <v>1</v>
      </c>
      <c r="B4" s="3" t="s">
        <v>2</v>
      </c>
      <c r="C4" s="1"/>
      <c r="D4" s="1"/>
      <c r="E4" s="1"/>
      <c r="F4" s="1"/>
      <c r="G4" s="1"/>
      <c r="H4" s="1"/>
      <c r="I4" s="1"/>
      <c r="J4" s="1"/>
    </row>
    <row r="5" spans="1:10" ht="30" customHeight="1">
      <c r="A5" s="1" t="s">
        <v>27</v>
      </c>
      <c r="B5" s="4">
        <v>200000</v>
      </c>
      <c r="C5" s="1"/>
      <c r="D5" s="12" t="s">
        <v>28</v>
      </c>
      <c r="E5" s="12"/>
      <c r="F5" s="12"/>
      <c r="G5" s="12"/>
      <c r="H5" s="12"/>
      <c r="I5" s="12"/>
      <c r="J5" s="12"/>
    </row>
    <row r="6" spans="1:10" ht="30" customHeight="1">
      <c r="A6" s="1" t="s">
        <v>5</v>
      </c>
      <c r="B6" s="5">
        <v>0.2</v>
      </c>
      <c r="C6" s="1"/>
      <c r="D6" s="12"/>
      <c r="E6" s="12"/>
      <c r="F6" s="12"/>
      <c r="G6" s="12"/>
      <c r="H6" s="12"/>
      <c r="I6" s="12"/>
      <c r="J6" s="12"/>
    </row>
    <row r="7" spans="1:10" ht="24" customHeight="1">
      <c r="A7" s="1" t="s">
        <v>6</v>
      </c>
      <c r="B7" s="5">
        <v>7.0000000000000007E-2</v>
      </c>
      <c r="C7" s="1"/>
      <c r="D7" s="1"/>
      <c r="E7" s="1"/>
      <c r="F7" s="1"/>
      <c r="G7" s="1"/>
      <c r="H7" s="1"/>
      <c r="I7" s="1"/>
      <c r="J7" s="1"/>
    </row>
    <row r="8" spans="1:10" ht="30" customHeight="1">
      <c r="A8" s="1" t="s">
        <v>7</v>
      </c>
      <c r="B8" s="6">
        <v>15</v>
      </c>
      <c r="C8" s="1"/>
      <c r="D8" s="12" t="s">
        <v>29</v>
      </c>
      <c r="E8" s="12"/>
      <c r="F8" s="12"/>
      <c r="G8" s="12"/>
      <c r="H8" s="12"/>
      <c r="I8" s="12"/>
      <c r="J8" s="12"/>
    </row>
    <row r="9" spans="1:10" ht="30" customHeight="1">
      <c r="A9" s="1"/>
      <c r="B9" s="1"/>
      <c r="C9" s="1"/>
      <c r="D9" s="12"/>
      <c r="E9" s="12"/>
      <c r="F9" s="12"/>
      <c r="G9" s="12"/>
      <c r="H9" s="12"/>
      <c r="I9" s="12"/>
      <c r="J9" s="12"/>
    </row>
    <row r="10" spans="1:10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24" customHeight="1">
      <c r="A11" s="1" t="s">
        <v>10</v>
      </c>
      <c r="B11" s="7">
        <f>B5*B6</f>
        <v>40000</v>
      </c>
      <c r="C11" s="1"/>
      <c r="D11" s="1"/>
      <c r="E11" s="1"/>
      <c r="F11" s="1"/>
      <c r="G11" s="1"/>
      <c r="H11" s="1"/>
      <c r="I11" s="1"/>
      <c r="J11" s="1"/>
    </row>
    <row r="12" spans="1:10" ht="30" customHeight="1">
      <c r="A12" s="1" t="s">
        <v>12</v>
      </c>
      <c r="B12" s="7">
        <f>B5-B11</f>
        <v>160000</v>
      </c>
      <c r="C12" s="1"/>
      <c r="D12" s="12" t="s">
        <v>30</v>
      </c>
      <c r="E12" s="12"/>
      <c r="F12" s="12"/>
      <c r="G12" s="12"/>
      <c r="H12" s="12"/>
      <c r="I12" s="12"/>
      <c r="J12" s="12"/>
    </row>
    <row r="13" spans="1:10" ht="30" customHeight="1">
      <c r="A13" s="1" t="s">
        <v>13</v>
      </c>
      <c r="B13" s="8">
        <f>B7/12</f>
        <v>5.8333333333333336E-3</v>
      </c>
      <c r="C13" s="1"/>
      <c r="D13" s="12"/>
      <c r="E13" s="12"/>
      <c r="F13" s="12"/>
      <c r="G13" s="12"/>
      <c r="H13" s="12"/>
      <c r="I13" s="12"/>
      <c r="J13" s="12"/>
    </row>
    <row r="14" spans="1:10" ht="24" customHeight="1">
      <c r="A14" s="1" t="s">
        <v>14</v>
      </c>
      <c r="B14" s="9">
        <f>B8*12</f>
        <v>180</v>
      </c>
      <c r="C14" s="1"/>
      <c r="D14" s="1"/>
      <c r="E14" s="1"/>
      <c r="F14" s="1"/>
      <c r="G14" s="1"/>
      <c r="H14" s="1"/>
      <c r="I14" s="1"/>
      <c r="J14" s="1"/>
    </row>
    <row r="15" spans="1:10" ht="24" customHeight="1">
      <c r="A15" s="1"/>
      <c r="B15" s="7"/>
      <c r="C15" s="1"/>
      <c r="D15" s="1"/>
      <c r="E15" s="1"/>
      <c r="F15" s="1"/>
      <c r="G15" s="1"/>
      <c r="H15" s="1"/>
      <c r="I15" s="1"/>
      <c r="J15" s="1"/>
    </row>
    <row r="16" spans="1:10" ht="30" customHeight="1">
      <c r="A16" s="10" t="s">
        <v>16</v>
      </c>
      <c r="B16" s="11">
        <f>IF(COUNT(B5:B8)&lt;4,"ระบุ input ให้ครบ",IF(OR(B5&lt;0,B6&lt;0,B6&gt;=1,B7&lt;0,B8&lt;=0),"input ไม่ถูกต้อง",-PMT(B13,B14,B12,0,0)))</f>
        <v>1438.1252333638831</v>
      </c>
      <c r="C16" s="1"/>
      <c r="D16" s="12" t="s">
        <v>48</v>
      </c>
      <c r="E16" s="12"/>
      <c r="F16" s="12"/>
      <c r="G16" s="12"/>
      <c r="H16" s="12"/>
      <c r="I16" s="12"/>
      <c r="J16" s="12"/>
    </row>
    <row r="17" spans="1:10" ht="30" customHeight="1">
      <c r="A17" s="1" t="s">
        <v>31</v>
      </c>
      <c r="B17" s="7">
        <f>B16*B14</f>
        <v>258862.54200549895</v>
      </c>
      <c r="C17" s="1"/>
      <c r="D17" s="12"/>
      <c r="E17" s="12"/>
      <c r="F17" s="12"/>
      <c r="G17" s="12"/>
      <c r="H17" s="12"/>
      <c r="I17" s="12"/>
      <c r="J17" s="12"/>
    </row>
    <row r="18" spans="1:10" ht="30" customHeight="1">
      <c r="A18" s="1" t="s">
        <v>32</v>
      </c>
      <c r="B18" s="7">
        <f>B17-B12</f>
        <v>98862.542005498952</v>
      </c>
      <c r="C18" s="1"/>
      <c r="D18" s="12"/>
      <c r="E18" s="12"/>
      <c r="F18" s="12"/>
      <c r="G18" s="12"/>
      <c r="H18" s="12"/>
      <c r="I18" s="12"/>
      <c r="J18" s="12"/>
    </row>
    <row r="19" spans="1:10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30" customHeight="1">
      <c r="A21" s="12" t="s">
        <v>33</v>
      </c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30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30" customHeight="1">
      <c r="A24" s="3" t="s">
        <v>34</v>
      </c>
      <c r="B24" s="3" t="s">
        <v>27</v>
      </c>
      <c r="C24" s="3" t="s">
        <v>35</v>
      </c>
      <c r="D24" s="3" t="s">
        <v>36</v>
      </c>
      <c r="E24" s="3" t="s">
        <v>37</v>
      </c>
      <c r="F24" s="3" t="s">
        <v>38</v>
      </c>
      <c r="G24" s="3" t="s">
        <v>39</v>
      </c>
      <c r="H24" s="3" t="s">
        <v>10</v>
      </c>
      <c r="I24" s="1"/>
      <c r="J24" s="1"/>
    </row>
    <row r="25" spans="1:10" ht="24" customHeight="1">
      <c r="A25" s="1" t="s">
        <v>40</v>
      </c>
      <c r="B25" s="7">
        <v>200000</v>
      </c>
      <c r="C25" s="9">
        <v>15</v>
      </c>
      <c r="D25" s="7">
        <v>160000</v>
      </c>
      <c r="E25" s="7">
        <v>1438.1252333638831</v>
      </c>
      <c r="F25" s="7">
        <v>258862.54200549895</v>
      </c>
      <c r="G25" s="7">
        <v>98862.542005498952</v>
      </c>
      <c r="H25" s="7">
        <v>40000</v>
      </c>
      <c r="I25" s="1"/>
      <c r="J25" s="1"/>
    </row>
    <row r="26" spans="1:10" ht="24" customHeight="1">
      <c r="A26" s="1" t="s">
        <v>41</v>
      </c>
      <c r="B26" s="7">
        <v>200000</v>
      </c>
      <c r="C26" s="9">
        <v>30</v>
      </c>
      <c r="D26" s="7">
        <v>160000</v>
      </c>
      <c r="E26" s="7">
        <v>1064.4839922866931</v>
      </c>
      <c r="F26" s="7">
        <v>383214.23722320952</v>
      </c>
      <c r="G26" s="7">
        <v>223214.23722320952</v>
      </c>
      <c r="H26" s="7">
        <v>40000</v>
      </c>
      <c r="I26" s="1"/>
      <c r="J26" s="1"/>
    </row>
    <row r="27" spans="1:10" ht="24" customHeight="1">
      <c r="A27" s="1" t="s">
        <v>42</v>
      </c>
      <c r="B27" s="7">
        <v>300000</v>
      </c>
      <c r="C27" s="9">
        <v>15</v>
      </c>
      <c r="D27" s="7">
        <v>240000</v>
      </c>
      <c r="E27" s="7">
        <v>2157.1878500458247</v>
      </c>
      <c r="F27" s="7">
        <v>388293.81300824846</v>
      </c>
      <c r="G27" s="7">
        <v>148293.81300824846</v>
      </c>
      <c r="H27" s="7">
        <v>60000</v>
      </c>
      <c r="I27" s="1"/>
      <c r="J27" s="1"/>
    </row>
    <row r="28" spans="1:10" ht="24" customHeight="1">
      <c r="A28" s="1" t="s">
        <v>43</v>
      </c>
      <c r="B28" s="7">
        <v>300000</v>
      </c>
      <c r="C28" s="9">
        <v>30</v>
      </c>
      <c r="D28" s="7">
        <v>240000</v>
      </c>
      <c r="E28" s="7">
        <v>1596.7259884300397</v>
      </c>
      <c r="F28" s="7">
        <v>574821.35583481425</v>
      </c>
      <c r="G28" s="7">
        <v>334821.35583481425</v>
      </c>
      <c r="H28" s="7">
        <v>60000</v>
      </c>
      <c r="I28" s="1"/>
      <c r="J28" s="1"/>
    </row>
    <row r="29" spans="1:10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30" customHeight="1">
      <c r="A31" s="12" t="s">
        <v>44</v>
      </c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30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30" customHeight="1">
      <c r="A34" s="12" t="s">
        <v>49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ht="30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30" customHeight="1">
      <c r="A37" s="12" t="s">
        <v>50</v>
      </c>
      <c r="B37" s="12"/>
      <c r="C37" s="12"/>
      <c r="D37" s="12"/>
      <c r="E37" s="12"/>
      <c r="F37" s="12"/>
      <c r="G37" s="12"/>
      <c r="H37" s="12"/>
      <c r="I37" s="12"/>
      <c r="J37" s="12"/>
    </row>
    <row r="38" spans="1:10" ht="30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30" customHeight="1">
      <c r="A41" s="12" t="s">
        <v>45</v>
      </c>
      <c r="B41" s="12"/>
      <c r="C41" s="12"/>
      <c r="D41" s="12"/>
      <c r="E41" s="12"/>
      <c r="F41" s="12"/>
      <c r="G41" s="12"/>
      <c r="H41" s="12"/>
      <c r="I41" s="12"/>
      <c r="J41" s="12"/>
    </row>
    <row r="42" spans="1:10" ht="30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</sheetData>
  <scenarios current="0" show="0" sqref="B5 B8">
    <scenario name="200k_15y" count="2" comment="Authored SpreadsheetML definition; native Show and Summary dialog not yet verified">
      <inputCells r="B5" val="200000"/>
      <inputCells r="B8" val="15"/>
    </scenario>
    <scenario name="200k_30y" count="2" comment="Authored SpreadsheetML definition; native Show and Summary dialog not yet verified">
      <inputCells r="B5" val="200000"/>
      <inputCells r="B8" val="30"/>
    </scenario>
    <scenario name="300k_15y" count="2" comment="Authored SpreadsheetML definition; native Show and Summary dialog not yet verified">
      <inputCells r="B5" val="300000"/>
      <inputCells r="B8" val="15"/>
    </scenario>
    <scenario name="300k_30y" count="2" comment="Authored SpreadsheetML definition; native Show and Summary dialog not yet verified">
      <inputCells r="B5" val="300000"/>
      <inputCells r="B8" val="30"/>
    </scenario>
  </scenarios>
  <mergeCells count="9">
    <mergeCell ref="A31:J32"/>
    <mergeCell ref="A34:J35"/>
    <mergeCell ref="A37:J38"/>
    <mergeCell ref="A41:J42"/>
    <mergeCell ref="D5:J6"/>
    <mergeCell ref="D8:J9"/>
    <mergeCell ref="D12:J13"/>
    <mergeCell ref="D16:J18"/>
    <mergeCell ref="A21:J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778AE"/>
  </sheetPr>
  <dimension ref="A2:H16"/>
  <sheetViews>
    <sheetView showGridLines="0" workbookViewId="0"/>
  </sheetViews>
  <sheetFormatPr defaultRowHeight="14.25"/>
  <cols>
    <col min="1" max="1" width="22" customWidth="1"/>
    <col min="2" max="2" width="18" customWidth="1"/>
    <col min="3" max="3" width="9" customWidth="1"/>
    <col min="4" max="4" width="12" customWidth="1"/>
    <col min="5" max="5" width="13" customWidth="1"/>
    <col min="6" max="6" width="19" customWidth="1"/>
    <col min="7" max="7" width="23" customWidth="1"/>
    <col min="8" max="8" width="24" customWidth="1"/>
  </cols>
  <sheetData>
    <row r="2" spans="1:8" ht="27.95" customHeight="1">
      <c r="A2" s="13" t="s">
        <v>51</v>
      </c>
      <c r="B2" s="14"/>
      <c r="C2" s="14"/>
      <c r="D2" s="14"/>
      <c r="E2" s="14"/>
      <c r="F2" s="14"/>
      <c r="G2" s="14"/>
      <c r="H2" s="14"/>
    </row>
    <row r="3" spans="1:8" ht="38.1" customHeight="1">
      <c r="A3" s="12" t="s">
        <v>52</v>
      </c>
      <c r="B3" s="14"/>
      <c r="C3" s="14"/>
      <c r="D3" s="14"/>
      <c r="E3" s="14"/>
      <c r="F3" s="14"/>
      <c r="G3" s="14"/>
      <c r="H3" s="14"/>
    </row>
    <row r="5" spans="1:8" ht="38.1" customHeight="1">
      <c r="A5" s="3" t="s">
        <v>53</v>
      </c>
      <c r="B5" s="3" t="s">
        <v>27</v>
      </c>
      <c r="C5" s="3" t="s">
        <v>35</v>
      </c>
      <c r="D5" s="3" t="s">
        <v>54</v>
      </c>
      <c r="E5" s="3" t="s">
        <v>55</v>
      </c>
      <c r="F5" s="3" t="s">
        <v>36</v>
      </c>
      <c r="G5" s="3" t="s">
        <v>56</v>
      </c>
      <c r="H5" s="3" t="s">
        <v>57</v>
      </c>
    </row>
    <row r="6" spans="1:8" ht="26.1" customHeight="1">
      <c r="A6" s="1" t="s">
        <v>40</v>
      </c>
      <c r="B6" s="4">
        <v>200000</v>
      </c>
      <c r="C6" s="6">
        <v>15</v>
      </c>
      <c r="D6" s="8">
        <f>Scenario!$B$6</f>
        <v>0.2</v>
      </c>
      <c r="E6" s="8">
        <f>Scenario!$B$7</f>
        <v>7.0000000000000007E-2</v>
      </c>
      <c r="F6" s="7">
        <f>IF(COUNT(B6:C6,Scenario!$B$6:$B$7)&lt;4,"ระบุ input ให้ครบ",IF(OR(B6&lt;0,C6&lt;=0,D6&lt;0,D6&gt;=1,E6&lt;0),"input ไม่ถูกต้อง",B6*(1-D6)))</f>
        <v>160000</v>
      </c>
      <c r="G6" s="7">
        <f>IF(ISNUMBER(F6),-PMT(E6/12,C6*12,F6,0,0),F6)</f>
        <v>1438.1252333638831</v>
      </c>
      <c r="H6" s="7">
        <f>IF(ISNUMBER(G6),G6*C6*12-F6,G6)</f>
        <v>98862.542005498952</v>
      </c>
    </row>
    <row r="7" spans="1:8" ht="26.1" customHeight="1">
      <c r="A7" s="1" t="s">
        <v>41</v>
      </c>
      <c r="B7" s="4">
        <v>200000</v>
      </c>
      <c r="C7" s="6">
        <v>30</v>
      </c>
      <c r="D7" s="8">
        <f>Scenario!$B$6</f>
        <v>0.2</v>
      </c>
      <c r="E7" s="8">
        <f>Scenario!$B$7</f>
        <v>7.0000000000000007E-2</v>
      </c>
      <c r="F7" s="7">
        <f>IF(COUNT(B7:C7,Scenario!$B$6:$B$7)&lt;4,"ระบุ input ให้ครบ",IF(OR(B7&lt;0,C7&lt;=0,D7&lt;0,D7&gt;=1,E7&lt;0),"input ไม่ถูกต้อง",B7*(1-D7)))</f>
        <v>160000</v>
      </c>
      <c r="G7" s="7">
        <f>IF(ISNUMBER(F7),-PMT(E7/12,C7*12,F7,0,0),F7)</f>
        <v>1064.4839922866931</v>
      </c>
      <c r="H7" s="7">
        <f>IF(ISNUMBER(G7),G7*C7*12-F7,G7)</f>
        <v>223214.23722320958</v>
      </c>
    </row>
    <row r="8" spans="1:8" ht="26.1" customHeight="1">
      <c r="A8" s="1" t="s">
        <v>42</v>
      </c>
      <c r="B8" s="4">
        <v>300000</v>
      </c>
      <c r="C8" s="6">
        <v>15</v>
      </c>
      <c r="D8" s="8">
        <f>Scenario!$B$6</f>
        <v>0.2</v>
      </c>
      <c r="E8" s="8">
        <f>Scenario!$B$7</f>
        <v>7.0000000000000007E-2</v>
      </c>
      <c r="F8" s="7">
        <f>IF(COUNT(B8:C8,Scenario!$B$6:$B$7)&lt;4,"ระบุ input ให้ครบ",IF(OR(B8&lt;0,C8&lt;=0,D8&lt;0,D8&gt;=1,E8&lt;0),"input ไม่ถูกต้อง",B8*(1-D8)))</f>
        <v>240000</v>
      </c>
      <c r="G8" s="7">
        <f>IF(ISNUMBER(F8),-PMT(E8/12,C8*12,F8,0,0),F8)</f>
        <v>2157.1878500458251</v>
      </c>
      <c r="H8" s="7">
        <f>IF(ISNUMBER(G8),G8*C8*12-F8,G8)</f>
        <v>148293.81300824851</v>
      </c>
    </row>
    <row r="9" spans="1:8" ht="26.1" customHeight="1">
      <c r="A9" s="1" t="s">
        <v>43</v>
      </c>
      <c r="B9" s="4">
        <v>300000</v>
      </c>
      <c r="C9" s="6">
        <v>30</v>
      </c>
      <c r="D9" s="8">
        <f>Scenario!$B$6</f>
        <v>0.2</v>
      </c>
      <c r="E9" s="8">
        <f>Scenario!$B$7</f>
        <v>7.0000000000000007E-2</v>
      </c>
      <c r="F9" s="7">
        <f>IF(COUNT(B9:C9,Scenario!$B$6:$B$7)&lt;4,"ระบุ input ให้ครบ",IF(OR(B9&lt;0,C9&lt;=0,D9&lt;0,D9&gt;=1,E9&lt;0),"input ไม่ถูกต้อง",B9*(1-D9)))</f>
        <v>240000</v>
      </c>
      <c r="G9" s="7">
        <f>IF(ISNUMBER(F9),-PMT(E9/12,C9*12,F9,0,0),F9)</f>
        <v>1596.7259884300395</v>
      </c>
      <c r="H9" s="7">
        <f>IF(ISNUMBER(G9),G9*C9*12-F9,G9)</f>
        <v>334821.35583481425</v>
      </c>
    </row>
    <row r="12" spans="1:8" ht="39.950000000000003" customHeight="1">
      <c r="A12" s="12" t="s">
        <v>58</v>
      </c>
      <c r="B12" s="14"/>
      <c r="C12" s="14"/>
      <c r="D12" s="14"/>
      <c r="E12" s="14"/>
      <c r="F12" s="14"/>
      <c r="G12" s="14"/>
      <c r="H12" s="14"/>
    </row>
    <row r="14" spans="1:8" ht="39.950000000000003" customHeight="1">
      <c r="A14" s="12" t="s">
        <v>59</v>
      </c>
      <c r="B14" s="14"/>
      <c r="C14" s="14"/>
      <c r="D14" s="14"/>
      <c r="E14" s="14"/>
      <c r="F14" s="14"/>
      <c r="G14" s="14"/>
      <c r="H14" s="14"/>
    </row>
    <row r="16" spans="1:8" ht="39.950000000000003" customHeight="1">
      <c r="A16" s="12" t="s">
        <v>60</v>
      </c>
      <c r="B16" s="14"/>
      <c r="C16" s="14"/>
      <c r="D16" s="14"/>
      <c r="E16" s="14"/>
      <c r="F16" s="14"/>
      <c r="G16" s="14"/>
      <c r="H16" s="14"/>
    </row>
  </sheetData>
  <mergeCells count="5">
    <mergeCell ref="A2:H2"/>
    <mergeCell ref="A3:H3"/>
    <mergeCell ref="A12:H12"/>
    <mergeCell ref="A14:H14"/>
    <mergeCell ref="A16:H16"/>
  </mergeCells>
  <pageMargins left="0.3" right="0.3" top="0.5" bottom="0.5" header="0.2" footer="0.2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Goal Seek</vt:lpstr>
      <vt:lpstr>Scenario</vt:lpstr>
      <vt:lpstr>Scenario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THEERUT DOKKATIN</cp:lastModifiedBy>
  <dcterms:modified xsi:type="dcterms:W3CDTF">2026-10-11T06:52:20Z</dcterms:modified>
</cp:coreProperties>
</file>