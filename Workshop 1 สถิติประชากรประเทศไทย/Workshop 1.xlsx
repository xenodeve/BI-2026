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556F3CD6-CEA9-47A9-8680-91D7269DFE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ข้อมูล" sheetId="1" r:id="rId1"/>
    <sheet name="Metadata" sheetId="2" r:id="rId2"/>
  </sheets>
  <definedNames>
    <definedName name="_xlnm._FilterDatabase" localSheetId="0" hidden="1">ข้อมูล!$A$1:$P$1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9" i="1" l="1"/>
  <c r="I619" i="1"/>
  <c r="J619" i="1"/>
  <c r="K619" i="1"/>
  <c r="L619" i="1"/>
  <c r="M619" i="1"/>
  <c r="N619" i="1"/>
  <c r="O619" i="1"/>
  <c r="P619" i="1"/>
  <c r="H620" i="1"/>
  <c r="I620" i="1"/>
  <c r="J620" i="1"/>
  <c r="K620" i="1"/>
  <c r="L620" i="1"/>
  <c r="M620" i="1"/>
  <c r="N620" i="1"/>
  <c r="O620" i="1"/>
  <c r="P620" i="1"/>
  <c r="H621" i="1"/>
  <c r="I621" i="1"/>
  <c r="J621" i="1"/>
  <c r="K621" i="1"/>
  <c r="L621" i="1"/>
  <c r="M621" i="1"/>
  <c r="N621" i="1"/>
  <c r="O621" i="1"/>
  <c r="P621" i="1"/>
  <c r="H622" i="1"/>
  <c r="I622" i="1"/>
  <c r="J622" i="1"/>
  <c r="K622" i="1"/>
  <c r="L622" i="1"/>
  <c r="M622" i="1"/>
  <c r="N622" i="1"/>
  <c r="O622" i="1"/>
  <c r="P622" i="1"/>
  <c r="G619" i="1"/>
  <c r="G622" i="1"/>
  <c r="G621" i="1"/>
  <c r="G620" i="1"/>
  <c r="G618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2" i="1"/>
  <c r="L618" i="1"/>
  <c r="M618" i="1"/>
  <c r="N618" i="1"/>
  <c r="O618" i="1"/>
  <c r="P618" i="1"/>
  <c r="H618" i="1"/>
  <c r="I618" i="1"/>
  <c r="J618" i="1"/>
  <c r="K618" i="1"/>
</calcChain>
</file>

<file path=xl/sharedStrings.xml><?xml version="1.0" encoding="utf-8"?>
<sst xmlns="http://schemas.openxmlformats.org/spreadsheetml/2006/main" count="2364" uniqueCount="139">
  <si>
    <t>ภาค</t>
  </si>
  <si>
    <t>จังหวัด</t>
  </si>
  <si>
    <t>สถานภาพแรงงาน</t>
  </si>
  <si>
    <t>กำลังแรงงาน</t>
  </si>
  <si>
    <t>กำลังแรงงานปัจจุบัน</t>
  </si>
  <si>
    <t>ชาย</t>
  </si>
  <si>
    <t>หญิง</t>
  </si>
  <si>
    <t>ประชากรอายุ 15 ปีขึ้นไป</t>
  </si>
  <si>
    <t>กำลังแรงงานที่รอฤดูกาล</t>
  </si>
  <si>
    <t>ผู้มีงานทำ</t>
  </si>
  <si>
    <t>ผู้ว่างงาน</t>
  </si>
  <si>
    <t>ทำงานบ้าน</t>
  </si>
  <si>
    <t>อื่นๆ</t>
  </si>
  <si>
    <t>เด็ก/ชรา/ป่วย/พิการจนไม่สามารถทำงานได้</t>
  </si>
  <si>
    <t>เรียนหนังสือ</t>
  </si>
  <si>
    <t>กรุงเทพมหานคร</t>
  </si>
  <si>
    <t>ภาคกลาง</t>
  </si>
  <si>
    <t>สมุทรปราการ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</si>
  <si>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</si>
  <si>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</si>
  <si>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</si>
  <si>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</si>
  <si>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</si>
  <si>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</si>
  <si>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</si>
  <si>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</si>
  <si>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</si>
  <si>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</si>
  <si>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</si>
  <si>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</si>
  <si>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</si>
  <si>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</si>
  <si>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</si>
  <si>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</si>
  <si>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</si>
  <si>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</si>
  <si>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</si>
  <si>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</si>
  <si>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</si>
  <si>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</si>
  <si>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</si>
  <si>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</si>
  <si>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/>
  </si>
  <si>
    <t>ภาคเหนือ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</si>
  <si>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</si>
  <si>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</si>
  <si>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</si>
  <si>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</si>
  <si>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</si>
  <si>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</si>
  <si>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</si>
  <si>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</si>
  <si>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</si>
  <si>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</si>
  <si>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</si>
  <si>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</si>
  <si>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</si>
  <si>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</si>
  <si>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</si>
  <si>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</si>
  <si>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</si>
  <si>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ภาคตะวันออกเฉียงเหนือ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</si>
  <si>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</si>
  <si>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</si>
  <si>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</si>
  <si>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</si>
  <si>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</si>
  <si>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</si>
  <si>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</si>
  <si>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</si>
  <si>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</si>
  <si>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</si>
  <si>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</si>
  <si>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</si>
  <si>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</si>
  <si>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</si>
  <si>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</si>
  <si>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</si>
  <si>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</si>
  <si>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</si>
  <si>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</si>
  <si>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</si>
  <si>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</si>
  <si>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</si>
  <si>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</si>
  <si>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</si>
  <si>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</si>
  <si>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</si>
  <si>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</si>
  <si>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</si>
  <si>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</si>
  <si>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</si>
  <si>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</si>
  <si>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</si>
  <si>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</si>
  <si>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</si>
  <si>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No.</t>
  </si>
  <si>
    <t>ชื่อรายการไทย</t>
  </si>
  <si>
    <t>รายละเอียด</t>
  </si>
  <si>
    <t>ประเภทข้อมูล</t>
  </si>
  <si>
    <t>ข้อมูลสถิติ</t>
  </si>
  <si>
    <t>ชื่อชุดข้อมูล</t>
  </si>
  <si>
    <t>จำนวนประชากร</t>
  </si>
  <si>
    <t>องค์กร</t>
  </si>
  <si>
    <t>สำนักงานสถิติแห่งชาติ กระทรวงดิจิทัลเพื่อเศรษฐกิจและสังคม</t>
  </si>
  <si>
    <t>ชื่อผู้ติดต่อ</t>
  </si>
  <si>
    <t>กลุ่มบริการและเผยแพร่ข้อมูลสถิติ
Tel. 02-141-7502</t>
  </si>
  <si>
    <t>อีเมลผู้ติดต่อ</t>
  </si>
  <si>
    <t>services@nso.go.th</t>
  </si>
  <si>
    <t>คำสำคัญ</t>
  </si>
  <si>
    <t>จำนวนประชากร, สถานภาพแรงงาน, เพศ</t>
  </si>
  <si>
    <t>วัตถุประสงค์</t>
  </si>
  <si>
    <t>พันธกิจหน่วยงาน
เพื่อประมาณจํานวนและลักษณะของกําลังแรงงานภายในประเทศ</t>
  </si>
  <si>
    <t>หน่วยความถี่ของการปรับปรุงข้อมูล</t>
  </si>
  <si>
    <t>ไตรมาส</t>
  </si>
  <si>
    <t>ค่าความถี่ของการปรับปรุงข้อมูล</t>
  </si>
  <si>
    <t>ขอบเขตเชิงภูมิศาสตร์หรือเชิงพื้นที่</t>
  </si>
  <si>
    <t>แหล่งที่มา</t>
  </si>
  <si>
    <t>สำรวจภาวะการทำงานของประชากร (สำนักงานสถิติแห่งชาติ)</t>
  </si>
  <si>
    <t>รูปแบบการเก็บข้อมูล</t>
  </si>
  <si>
    <t>XLS</t>
  </si>
  <si>
    <t>หมวดหมู่ข้อมูลตามธรรมาภิบาลข้อมูลภาครัฐ</t>
  </si>
  <si>
    <t>ข้อมูลสาธารณะ</t>
  </si>
  <si>
    <t>สัญญาอนุญาตให้ใช้ข้อมูล</t>
  </si>
  <si>
    <t>License not specified</t>
  </si>
  <si>
    <t>ชาย 1</t>
  </si>
  <si>
    <t>หญิง 1</t>
  </si>
  <si>
    <t>ชาย 2</t>
  </si>
  <si>
    <t>หญิง 2</t>
  </si>
  <si>
    <t xml:space="preserve">ชาย 3 </t>
  </si>
  <si>
    <t>หญิง 3</t>
  </si>
  <si>
    <t>ชาย 4</t>
  </si>
  <si>
    <t xml:space="preserve">หญิง 4 </t>
  </si>
  <si>
    <t>ลำดับ</t>
  </si>
  <si>
    <t>ผลรวม</t>
  </si>
  <si>
    <t>ค่าเฉลี่ย</t>
  </si>
  <si>
    <t>Min</t>
  </si>
  <si>
    <t>Max</t>
  </si>
  <si>
    <t>S.D.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</si>
</sst>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8" x14ac:knownFonts="1">
    <font>
      <sz val="11"/>
      <color theme="1"/>
      <name val="Calibri"/>
    </font>
    <font>
      <sz val="10"/>
      <name val="Calibri"/>
      <family val="2"/>
    </font>
    <font>
      <b/>
      <sz val="1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3" fontId="1" fillId="0" borderId="2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/>
    </xf>
    <xf numFmtId="0" fontId="4" fillId="0" borderId="0" xfId="2"/>
    <xf numFmtId="0" fontId="6" fillId="0" borderId="5" xfId="2" applyFont="1" applyBorder="1" applyAlignment="1">
      <alignment horizontal="center" vertical="top"/>
    </xf>
    <xf numFmtId="0" fontId="6" fillId="0" borderId="6" xfId="2" applyFont="1" applyBorder="1"/>
    <xf numFmtId="0" fontId="4" fillId="0" borderId="0" xfId="2" applyAlignment="1">
      <alignment vertical="top"/>
    </xf>
    <xf numFmtId="0" fontId="6" fillId="0" borderId="6" xfId="2" applyFont="1" applyBorder="1" applyAlignment="1">
      <alignment horizontal="center" vertical="top"/>
    </xf>
    <xf numFmtId="0" fontId="6" fillId="0" borderId="6" xfId="2" applyFont="1" applyBorder="1" applyAlignment="1">
      <alignment vertical="top"/>
    </xf>
    <xf numFmtId="0" fontId="6" fillId="0" borderId="6" xfId="2" applyFont="1" applyBorder="1" applyAlignment="1">
      <alignment vertical="top" wrapText="1"/>
    </xf>
    <xf numFmtId="0" fontId="3" fillId="0" borderId="6" xfId="1" applyNumberFormat="1" applyFill="1" applyBorder="1" applyProtection="1"/>
    <xf numFmtId="0" fontId="6" fillId="0" borderId="6" xfId="2" applyFont="1" applyBorder="1" applyAlignment="1">
      <alignment wrapText="1"/>
    </xf>
    <xf numFmtId="0" fontId="6" fillId="0" borderId="6" xfId="2" applyFont="1" applyBorder="1" applyAlignment="1">
      <alignment horizontal="left"/>
    </xf>
    <xf numFmtId="0" fontId="6" fillId="0" borderId="7" xfId="2" applyFont="1" applyBorder="1" applyAlignment="1">
      <alignment horizontal="center" vertical="top"/>
    </xf>
    <xf numFmtId="0" fontId="6" fillId="0" borderId="7" xfId="2" applyFont="1" applyBorder="1" applyAlignment="1">
      <alignment wrapText="1"/>
    </xf>
    <xf numFmtId="0" fontId="6" fillId="0" borderId="7" xfId="2" applyFont="1" applyBorder="1"/>
    <xf numFmtId="0" fontId="1" fillId="0" borderId="1" xfId="0" applyFont="1" applyBorder="1"/>
    <xf numFmtId="0" fontId="1" fillId="0" borderId="3" xfId="0" applyFont="1" applyBorder="1" applyAlignment="1">
      <alignment horizontal="left" vertical="top" wrapText="1"/>
    </xf>
    <xf numFmtId="3" fontId="1" fillId="0" borderId="0" xfId="0" applyNumberFormat="1" applyFont="1"/>
    <xf numFmtId="3" fontId="7" fillId="0" borderId="0" xfId="0" applyNumberFormat="1" applyFont="1"/>
    <xf numFmtId="3" fontId="7" fillId="0" borderId="0" xfId="0" applyNumberFormat="1" applyFont="1" applyAlignment="1">
      <alignment vertical="top" wrapText="1"/>
    </xf>
    <xf numFmtId="187" fontId="1" fillId="0" borderId="0" xfId="0" applyNumberFormat="1" applyFont="1"/>
  </cellXfs>
  <cellStyles count="3">
    <cellStyle name="Hyperlink" xfId="1" builtinId="8"/>
    <cellStyle name="Normal" xfId="0" builtinId="0"/>
    <cellStyle name="Normal 2" xfId="2" xr:uid="{CBCC4BA7-F417-40E7-A54D-89F5C6513D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ervices@nso.go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2"/>
  <sheetViews>
    <sheetView showGridLines="0" tabSelected="1" topLeftCell="D416" zoomScale="130" zoomScaleNormal="130" workbookViewId="0">
      <selection activeCell="T606" sqref="T606"/>
    </sheetView>
  </sheetViews>
  <sheetFormatPr defaultRowHeight="15" customHeight="1" x14ac:dyDescent="0.2"/>
  <cols>
    <col min="1" max="1" width="9.140625" style="1"/>
    <col min="2" max="2" width="18.140625" style="1" customWidth="1"/>
    <col min="3" max="3" width="15.85546875" style="1" customWidth="1"/>
    <col min="4" max="4" width="15.28515625" style="1" customWidth="1"/>
    <col min="5" max="5" width="25.85546875" style="1" customWidth="1"/>
    <col min="6" max="6" width="13.28515625" style="1" customWidth="1"/>
    <col min="7" max="16" width="10.28515625" style="1" customWidth="1"/>
    <col min="17" max="17" width="9.85546875" style="1" bestFit="1" customWidth="1"/>
    <col min="18" max="16384" width="9.140625" style="1"/>
  </cols>
  <sheetData>
    <row r="1" spans="1:17" ht="11.25" customHeight="1" x14ac:dyDescent="0.2">
      <c r="A1" s="1" t="s">
        <v>133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125</v>
      </c>
      <c r="H1" s="9" t="s">
        <v>126</v>
      </c>
      <c r="I1" s="9" t="s">
        <v>127</v>
      </c>
      <c r="J1" s="9" t="s">
        <v>128</v>
      </c>
      <c r="K1" s="9" t="s">
        <v>129</v>
      </c>
      <c r="L1" s="9" t="s">
        <v>130</v>
      </c>
      <c r="M1" s="9" t="s">
        <v>131</v>
      </c>
      <c r="N1" s="10" t="s">
        <v>132</v>
      </c>
      <c r="O1" s="9" t="s">
        <v>5</v>
      </c>
      <c r="P1" s="10" t="s">
        <v>6</v>
      </c>
    </row>
    <row r="2" spans="1:17" ht="15" customHeight="1" x14ac:dyDescent="0.2">
      <c r="A2" s="1">
        <v>1</v>
      </c>
      <c r="B2" s="7" t="s">
        <v>15</v>
      </c>
      <c r="C2" s="7" t="s">
        <v>15</v>
      </c>
      <c r="D2" s="2" t="s">
        <v>7</v>
      </c>
      <c r="E2" s="2" t="s">
        <v>7</v>
      </c>
      <c r="F2" s="2" t="s">
        <v>7</v>
      </c>
      <c r="G2" s="3">
        <v>3732560</v>
      </c>
      <c r="H2" s="3">
        <v>4135630.01</v>
      </c>
      <c r="I2" s="3">
        <v>3734947</v>
      </c>
      <c r="J2" s="3">
        <v>4138775</v>
      </c>
      <c r="K2" s="3">
        <v>3736550</v>
      </c>
      <c r="L2" s="3">
        <v>4141755</v>
      </c>
      <c r="M2" s="3">
        <v>3737854</v>
      </c>
      <c r="N2" s="8">
        <v>4143807</v>
      </c>
      <c r="O2" s="3">
        <v>3735477.75</v>
      </c>
      <c r="P2" s="8">
        <v>4139991.7524999999</v>
      </c>
      <c r="Q2" s="28">
        <f>SUM(G2:P2)</f>
        <v>39377347.512499996</v>
      </c>
    </row>
    <row r="3" spans="1:17" ht="15" customHeight="1" x14ac:dyDescent="0.2">
      <c r="A3" s="1">
        <v>3</v>
      </c>
      <c r="B3" s="7" t="s">
        <v>15</v>
      </c>
      <c r="C3" s="7" t="s">
        <v>15</v>
      </c>
      <c r="D3" s="7"/>
      <c r="E3" s="2" t="s">
        <v>8</v>
      </c>
      <c r="F3" s="2" t="s">
        <v>8</v>
      </c>
      <c r="G3" s="3">
        <v>1662.5</v>
      </c>
      <c r="H3" s="3">
        <v>0</v>
      </c>
      <c r="I3" s="3">
        <v>693</v>
      </c>
      <c r="J3" s="3">
        <v>0</v>
      </c>
      <c r="K3" s="3">
        <v>0</v>
      </c>
      <c r="L3" s="3">
        <v>779.92</v>
      </c>
      <c r="M3" s="3">
        <v>751.2</v>
      </c>
      <c r="N3" s="8">
        <v>0</v>
      </c>
      <c r="O3" s="3">
        <v>776.67499999999995</v>
      </c>
      <c r="P3" s="8">
        <v>194.98</v>
      </c>
      <c r="Q3" s="28">
        <f t="shared" ref="Q3:Q66" si="0">SUM(G3:P3)</f>
        <v>4858.2749999999996</v>
      </c>
    </row>
    <row r="4" spans="1:17" ht="15" customHeight="1" x14ac:dyDescent="0.2">
      <c r="A4" s="1">
        <v>5</v>
      </c>
      <c r="B4" s="7" t="s">
        <v>15</v>
      </c>
      <c r="C4" s="7" t="s">
        <v>15</v>
      </c>
      <c r="D4" s="5"/>
      <c r="E4" s="7"/>
      <c r="F4" s="2" t="s">
        <v>9</v>
      </c>
      <c r="G4" s="3">
        <v>2965982.9</v>
      </c>
      <c r="H4" s="3">
        <v>2789767.71</v>
      </c>
      <c r="I4" s="3">
        <v>2963281.99</v>
      </c>
      <c r="J4" s="3">
        <v>2774242.19</v>
      </c>
      <c r="K4" s="3">
        <v>2933594.7</v>
      </c>
      <c r="L4" s="3">
        <v>2718662.51</v>
      </c>
      <c r="M4" s="3">
        <v>2967774.41</v>
      </c>
      <c r="N4" s="8">
        <v>2753405.44</v>
      </c>
      <c r="O4" s="3">
        <v>2957658.5</v>
      </c>
      <c r="P4" s="8">
        <v>2759019.4624999999</v>
      </c>
      <c r="Q4" s="28">
        <f t="shared" si="0"/>
        <v>28583389.8125</v>
      </c>
    </row>
    <row r="5" spans="1:17" ht="15" customHeight="1" x14ac:dyDescent="0.2">
      <c r="A5" s="1">
        <v>6</v>
      </c>
      <c r="B5" s="7" t="s">
        <v>15</v>
      </c>
      <c r="C5" s="7" t="s">
        <v>15</v>
      </c>
      <c r="D5" s="5"/>
      <c r="E5" s="7"/>
      <c r="F5" s="2" t="s">
        <v>10</v>
      </c>
      <c r="G5" s="3">
        <v>34247.68</v>
      </c>
      <c r="H5" s="3">
        <v>28138.18</v>
      </c>
      <c r="I5" s="3">
        <v>30629.8</v>
      </c>
      <c r="J5" s="3">
        <v>33209.339999999997</v>
      </c>
      <c r="K5" s="3">
        <v>28986.9</v>
      </c>
      <c r="L5" s="3">
        <v>27595.58</v>
      </c>
      <c r="M5" s="3">
        <v>26738.41</v>
      </c>
      <c r="N5" s="8">
        <v>15973.28</v>
      </c>
      <c r="O5" s="3">
        <v>30150.697500000002</v>
      </c>
      <c r="P5" s="8">
        <v>26229.095000000001</v>
      </c>
      <c r="Q5" s="28">
        <f t="shared" si="0"/>
        <v>281898.96250000002</v>
      </c>
    </row>
    <row r="6" spans="1:17" ht="15" customHeight="1" x14ac:dyDescent="0.2">
      <c r="A6" s="1">
        <v>8</v>
      </c>
      <c r="B6" s="7" t="s">
        <v>15</v>
      </c>
      <c r="C6" s="7" t="s">
        <v>15</v>
      </c>
      <c r="D6" s="5"/>
      <c r="E6" s="26" t="s">
        <v>11</v>
      </c>
      <c r="F6" s="2" t="s">
        <v>11</v>
      </c>
      <c r="G6" s="3">
        <v>24120.11</v>
      </c>
      <c r="H6" s="3">
        <v>525717.41</v>
      </c>
      <c r="I6" s="3">
        <v>26444.18</v>
      </c>
      <c r="J6" s="3">
        <v>520757.26</v>
      </c>
      <c r="K6" s="3">
        <v>28585.58</v>
      </c>
      <c r="L6" s="3">
        <v>517190.5</v>
      </c>
      <c r="M6" s="3">
        <v>24035.45</v>
      </c>
      <c r="N6" s="8">
        <v>500408.78</v>
      </c>
      <c r="O6" s="3">
        <v>25796.329999999998</v>
      </c>
      <c r="P6" s="8">
        <v>516018.48749999999</v>
      </c>
      <c r="Q6" s="28">
        <f t="shared" si="0"/>
        <v>2709074.0874999999</v>
      </c>
    </row>
    <row r="7" spans="1:17" ht="15" customHeight="1" x14ac:dyDescent="0.2">
      <c r="A7" s="1">
        <v>9</v>
      </c>
      <c r="B7" s="7" t="s">
        <v>15</v>
      </c>
      <c r="C7" s="7" t="s">
        <v>15</v>
      </c>
      <c r="D7" s="5"/>
      <c r="E7" s="26" t="s">
        <v>12</v>
      </c>
      <c r="F7" s="2" t="s">
        <v>12</v>
      </c>
      <c r="G7" s="3">
        <v>171313.05</v>
      </c>
      <c r="H7" s="3">
        <v>117672.6</v>
      </c>
      <c r="I7" s="3">
        <v>169894.57</v>
      </c>
      <c r="J7" s="3">
        <v>133887.75</v>
      </c>
      <c r="K7" s="3">
        <v>195435.08</v>
      </c>
      <c r="L7" s="3">
        <v>153510.9</v>
      </c>
      <c r="M7" s="3">
        <v>180231.94</v>
      </c>
      <c r="N7" s="8">
        <v>131653.79</v>
      </c>
      <c r="O7" s="3">
        <v>179218.65999999997</v>
      </c>
      <c r="P7" s="8">
        <v>134181.26</v>
      </c>
      <c r="Q7" s="28">
        <f t="shared" si="0"/>
        <v>1566999.5999999999</v>
      </c>
    </row>
    <row r="8" spans="1:17" ht="15" customHeight="1" x14ac:dyDescent="0.2">
      <c r="A8" s="1">
        <v>10</v>
      </c>
      <c r="B8" s="7" t="s">
        <v>15</v>
      </c>
      <c r="C8" s="7" t="s">
        <v>15</v>
      </c>
      <c r="D8" s="7"/>
      <c r="E8" s="2" t="s">
        <v>13</v>
      </c>
      <c r="F8" s="2" t="s">
        <v>13</v>
      </c>
      <c r="G8" s="3">
        <v>305331.34999999998</v>
      </c>
      <c r="H8" s="3">
        <v>406923.51</v>
      </c>
      <c r="I8" s="3">
        <v>324530.76</v>
      </c>
      <c r="J8" s="3">
        <v>425672.76</v>
      </c>
      <c r="K8" s="3">
        <v>324647.48</v>
      </c>
      <c r="L8" s="3">
        <v>463547.23</v>
      </c>
      <c r="M8" s="3">
        <v>317802.14</v>
      </c>
      <c r="N8" s="8">
        <v>475279.83</v>
      </c>
      <c r="O8" s="3">
        <v>318077.9325</v>
      </c>
      <c r="P8" s="8">
        <v>442855.83250000002</v>
      </c>
      <c r="Q8" s="28">
        <f t="shared" si="0"/>
        <v>3804668.8250000002</v>
      </c>
    </row>
    <row r="9" spans="1:17" ht="15" customHeight="1" x14ac:dyDescent="0.2">
      <c r="A9" s="1">
        <v>11</v>
      </c>
      <c r="B9" s="7" t="s">
        <v>15</v>
      </c>
      <c r="C9" s="7" t="s">
        <v>15</v>
      </c>
      <c r="D9" s="5"/>
      <c r="E9" s="2" t="s">
        <v>14</v>
      </c>
      <c r="F9" s="2" t="s">
        <v>14</v>
      </c>
      <c r="G9" s="3">
        <v>229902.41</v>
      </c>
      <c r="H9" s="3">
        <v>267410.59999999998</v>
      </c>
      <c r="I9" s="3">
        <v>219473.5</v>
      </c>
      <c r="J9" s="3">
        <v>251005.72</v>
      </c>
      <c r="K9" s="3">
        <v>225300.25</v>
      </c>
      <c r="L9" s="3">
        <v>260468.36</v>
      </c>
      <c r="M9" s="3">
        <v>220520.45</v>
      </c>
      <c r="N9" s="8">
        <v>267085.88</v>
      </c>
      <c r="O9" s="3">
        <v>223799.15250000003</v>
      </c>
      <c r="P9" s="8">
        <v>261492.63999999998</v>
      </c>
      <c r="Q9" s="28">
        <f t="shared" si="0"/>
        <v>2426458.9624999999</v>
      </c>
    </row>
    <row r="10" spans="1:17" ht="15" customHeight="1" x14ac:dyDescent="0.2">
      <c r="A10" s="1">
        <v>12</v>
      </c>
      <c r="B10" s="7" t="s">
        <v>16</v>
      </c>
      <c r="C10" s="7" t="s">
        <v>17</v>
      </c>
      <c r="D10" s="26" t="s">
        <v>7</v>
      </c>
      <c r="E10" s="2"/>
      <c r="F10" s="2" t="s">
        <v>7</v>
      </c>
      <c r="G10" s="3">
        <v>985614</v>
      </c>
      <c r="H10" s="3">
        <v>1108954</v>
      </c>
      <c r="I10" s="3">
        <v>990032</v>
      </c>
      <c r="J10" s="3">
        <v>1114341</v>
      </c>
      <c r="K10" s="3">
        <v>994414</v>
      </c>
      <c r="L10" s="3">
        <v>1119690</v>
      </c>
      <c r="M10" s="3">
        <v>998671</v>
      </c>
      <c r="N10" s="8">
        <v>1124867</v>
      </c>
      <c r="O10" s="3">
        <v>992182.75</v>
      </c>
      <c r="P10" s="8">
        <v>1116963</v>
      </c>
      <c r="Q10" s="28">
        <f t="shared" si="0"/>
        <v>10545728.75</v>
      </c>
    </row>
    <row r="11" spans="1:17" ht="15" customHeight="1" x14ac:dyDescent="0.2">
      <c r="A11" s="1">
        <v>14</v>
      </c>
      <c r="B11" s="7" t="s">
        <v>16</v>
      </c>
      <c r="C11" s="7" t="s">
        <v>17</v>
      </c>
      <c r="D11" s="5"/>
      <c r="E11" s="2" t="s">
        <v>8</v>
      </c>
      <c r="F11" s="2" t="s">
        <v>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8">
        <v>0</v>
      </c>
      <c r="O11" s="3">
        <v>0</v>
      </c>
      <c r="P11" s="8">
        <v>0</v>
      </c>
      <c r="Q11" s="28">
        <f t="shared" si="0"/>
        <v>0</v>
      </c>
    </row>
    <row r="12" spans="1:17" ht="15" customHeight="1" x14ac:dyDescent="0.2">
      <c r="A12" s="1">
        <v>16</v>
      </c>
      <c r="B12" s="7" t="s">
        <v>16</v>
      </c>
      <c r="C12" s="7" t="s">
        <v>17</v>
      </c>
      <c r="D12" s="5"/>
      <c r="E12" s="7"/>
      <c r="F12" s="2" t="s">
        <v>9</v>
      </c>
      <c r="G12" s="3">
        <v>792779.55</v>
      </c>
      <c r="H12" s="3">
        <v>686139.29</v>
      </c>
      <c r="I12" s="3">
        <v>824989.45</v>
      </c>
      <c r="J12" s="3">
        <v>705934.4</v>
      </c>
      <c r="K12" s="3">
        <v>781260.88</v>
      </c>
      <c r="L12" s="3">
        <v>725219.4</v>
      </c>
      <c r="M12" s="3">
        <v>790815.12</v>
      </c>
      <c r="N12" s="8">
        <v>735545.25</v>
      </c>
      <c r="O12" s="3">
        <v>797461.25</v>
      </c>
      <c r="P12" s="8">
        <v>713209.58499999996</v>
      </c>
      <c r="Q12" s="28">
        <f t="shared" si="0"/>
        <v>7553354.1749999998</v>
      </c>
    </row>
    <row r="13" spans="1:17" ht="15" customHeight="1" x14ac:dyDescent="0.2">
      <c r="A13" s="1">
        <v>17</v>
      </c>
      <c r="B13" s="7" t="s">
        <v>16</v>
      </c>
      <c r="C13" s="7" t="s">
        <v>17</v>
      </c>
      <c r="D13" s="7"/>
      <c r="E13" s="7"/>
      <c r="F13" s="2" t="s">
        <v>10</v>
      </c>
      <c r="G13" s="3">
        <v>14215.34</v>
      </c>
      <c r="H13" s="3">
        <v>5677.79</v>
      </c>
      <c r="I13" s="3">
        <v>11873.52</v>
      </c>
      <c r="J13" s="3">
        <v>8208.06</v>
      </c>
      <c r="K13" s="3">
        <v>11248.86</v>
      </c>
      <c r="L13" s="3">
        <v>1561.94</v>
      </c>
      <c r="M13" s="3">
        <v>6741.2</v>
      </c>
      <c r="N13" s="8">
        <v>2153.2800000000002</v>
      </c>
      <c r="O13" s="3">
        <v>11019.73</v>
      </c>
      <c r="P13" s="8">
        <v>4400.2674999999999</v>
      </c>
      <c r="Q13" s="28">
        <f t="shared" si="0"/>
        <v>77099.987500000003</v>
      </c>
    </row>
    <row r="14" spans="1:17" ht="15" customHeight="1" x14ac:dyDescent="0.2">
      <c r="A14" s="1">
        <v>19</v>
      </c>
      <c r="B14" s="7" t="s">
        <v>16</v>
      </c>
      <c r="C14" s="7" t="s">
        <v>17</v>
      </c>
      <c r="D14" s="7"/>
      <c r="E14" s="2" t="s">
        <v>11</v>
      </c>
      <c r="F14" s="2" t="s">
        <v>11</v>
      </c>
      <c r="G14" s="3">
        <v>6888.62</v>
      </c>
      <c r="H14" s="3">
        <v>190817</v>
      </c>
      <c r="I14" s="3">
        <v>12331.87</v>
      </c>
      <c r="J14" s="3">
        <v>180881.81</v>
      </c>
      <c r="K14" s="3">
        <v>16221.65</v>
      </c>
      <c r="L14" s="3">
        <v>186524.83</v>
      </c>
      <c r="M14" s="3">
        <v>17648.28</v>
      </c>
      <c r="N14" s="8">
        <v>183762.58</v>
      </c>
      <c r="O14" s="3">
        <v>13272.605</v>
      </c>
      <c r="P14" s="8">
        <v>185496.55499999999</v>
      </c>
      <c r="Q14" s="28">
        <f t="shared" si="0"/>
        <v>993845.8</v>
      </c>
    </row>
    <row r="15" spans="1:17" ht="15" customHeight="1" x14ac:dyDescent="0.2">
      <c r="A15" s="1">
        <v>20</v>
      </c>
      <c r="B15" s="7" t="s">
        <v>16</v>
      </c>
      <c r="C15" s="7" t="s">
        <v>17</v>
      </c>
      <c r="D15" s="5"/>
      <c r="E15" s="2" t="s">
        <v>12</v>
      </c>
      <c r="F15" s="2" t="s">
        <v>12</v>
      </c>
      <c r="G15" s="3">
        <v>40605.11</v>
      </c>
      <c r="H15" s="3">
        <v>33357.19</v>
      </c>
      <c r="I15" s="3">
        <v>29533.11</v>
      </c>
      <c r="J15" s="3">
        <v>34562.26</v>
      </c>
      <c r="K15" s="3">
        <v>49426.47</v>
      </c>
      <c r="L15" s="3">
        <v>29790.04</v>
      </c>
      <c r="M15" s="3">
        <v>37545.82</v>
      </c>
      <c r="N15" s="8">
        <v>25682.39</v>
      </c>
      <c r="O15" s="3">
        <v>39277.627500000002</v>
      </c>
      <c r="P15" s="8">
        <v>30847.970000000005</v>
      </c>
      <c r="Q15" s="28">
        <f t="shared" si="0"/>
        <v>350627.98750000005</v>
      </c>
    </row>
    <row r="16" spans="1:17" ht="15" customHeight="1" x14ac:dyDescent="0.2">
      <c r="A16" s="1">
        <v>21</v>
      </c>
      <c r="B16" s="7" t="s">
        <v>16</v>
      </c>
      <c r="C16" s="7" t="s">
        <v>17</v>
      </c>
      <c r="D16" s="5"/>
      <c r="E16" s="2" t="s">
        <v>13</v>
      </c>
      <c r="F16" s="2" t="s">
        <v>13</v>
      </c>
      <c r="G16" s="3">
        <v>72269.45</v>
      </c>
      <c r="H16" s="3">
        <v>113527.71</v>
      </c>
      <c r="I16" s="3">
        <v>68776.05</v>
      </c>
      <c r="J16" s="3">
        <v>112033.46</v>
      </c>
      <c r="K16" s="3">
        <v>86383.360000000001</v>
      </c>
      <c r="L16" s="3">
        <v>106599.86</v>
      </c>
      <c r="M16" s="3">
        <v>88247.11</v>
      </c>
      <c r="N16" s="8">
        <v>118423.5</v>
      </c>
      <c r="O16" s="3">
        <v>78918.992499999993</v>
      </c>
      <c r="P16" s="8">
        <v>112646.13250000001</v>
      </c>
      <c r="Q16" s="28">
        <f t="shared" si="0"/>
        <v>957825.625</v>
      </c>
    </row>
    <row r="17" spans="1:17" ht="15" customHeight="1" x14ac:dyDescent="0.2">
      <c r="A17" s="1">
        <v>22</v>
      </c>
      <c r="B17" s="7" t="s">
        <v>16</v>
      </c>
      <c r="C17" s="7" t="s">
        <v>17</v>
      </c>
      <c r="D17" s="5"/>
      <c r="E17" s="26" t="s">
        <v>14</v>
      </c>
      <c r="F17" s="2" t="s">
        <v>14</v>
      </c>
      <c r="G17" s="3">
        <v>58855.93</v>
      </c>
      <c r="H17" s="3">
        <v>79435.03</v>
      </c>
      <c r="I17" s="3">
        <v>42528</v>
      </c>
      <c r="J17" s="3">
        <v>72721.02</v>
      </c>
      <c r="K17" s="3">
        <v>49872.79</v>
      </c>
      <c r="L17" s="3">
        <v>69993.95</v>
      </c>
      <c r="M17" s="3">
        <v>57673.46</v>
      </c>
      <c r="N17" s="8">
        <v>59300</v>
      </c>
      <c r="O17" s="3">
        <v>52232.544999999998</v>
      </c>
      <c r="P17" s="8">
        <v>70362.5</v>
      </c>
      <c r="Q17" s="28">
        <f t="shared" si="0"/>
        <v>612975.22499999998</v>
      </c>
    </row>
    <row r="18" spans="1:17" ht="15" customHeight="1" x14ac:dyDescent="0.2">
      <c r="A18" s="1">
        <v>23</v>
      </c>
      <c r="B18" s="7" t="s">
        <v>16</v>
      </c>
      <c r="C18" s="7" t="s">
        <v>18</v>
      </c>
      <c r="D18" s="26" t="s">
        <v>7</v>
      </c>
      <c r="E18" s="26"/>
      <c r="F18" s="2" t="s">
        <v>7</v>
      </c>
      <c r="G18" s="3">
        <v>780517</v>
      </c>
      <c r="H18" s="3">
        <v>876665</v>
      </c>
      <c r="I18" s="3">
        <v>783734</v>
      </c>
      <c r="J18" s="3">
        <v>880619</v>
      </c>
      <c r="K18" s="3">
        <v>786924</v>
      </c>
      <c r="L18" s="3">
        <v>884543</v>
      </c>
      <c r="M18" s="3">
        <v>790022</v>
      </c>
      <c r="N18" s="8">
        <v>888341</v>
      </c>
      <c r="O18" s="3">
        <v>785299.25</v>
      </c>
      <c r="P18" s="8">
        <v>882542</v>
      </c>
      <c r="Q18" s="28">
        <f t="shared" si="0"/>
        <v>8339206.25</v>
      </c>
    </row>
    <row r="19" spans="1:17" ht="15" customHeight="1" x14ac:dyDescent="0.2">
      <c r="A19" s="1">
        <v>25</v>
      </c>
      <c r="B19" s="7" t="s">
        <v>16</v>
      </c>
      <c r="C19" s="7" t="s">
        <v>18</v>
      </c>
      <c r="D19" s="7"/>
      <c r="E19" s="2" t="s">
        <v>8</v>
      </c>
      <c r="F19" s="2" t="s">
        <v>8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8">
        <v>0</v>
      </c>
      <c r="O19" s="3">
        <v>0</v>
      </c>
      <c r="P19" s="8">
        <v>0</v>
      </c>
      <c r="Q19" s="28">
        <f t="shared" si="0"/>
        <v>0</v>
      </c>
    </row>
    <row r="20" spans="1:17" ht="15" customHeight="1" x14ac:dyDescent="0.2">
      <c r="A20" s="1">
        <v>27</v>
      </c>
      <c r="B20" s="7" t="s">
        <v>16</v>
      </c>
      <c r="C20" s="7" t="s">
        <v>18</v>
      </c>
      <c r="D20" s="5"/>
      <c r="E20" s="7"/>
      <c r="F20" s="2" t="s">
        <v>9</v>
      </c>
      <c r="G20" s="3">
        <v>605059.17000000004</v>
      </c>
      <c r="H20" s="3">
        <v>539913.89</v>
      </c>
      <c r="I20" s="3">
        <v>606754.17000000004</v>
      </c>
      <c r="J20" s="3">
        <v>553007.19999999995</v>
      </c>
      <c r="K20" s="3">
        <v>614769.68000000005</v>
      </c>
      <c r="L20" s="3">
        <v>555509.52</v>
      </c>
      <c r="M20" s="3">
        <v>622581.76000000001</v>
      </c>
      <c r="N20" s="8">
        <v>540077</v>
      </c>
      <c r="O20" s="3">
        <v>612291.19500000007</v>
      </c>
      <c r="P20" s="8">
        <v>547126.90249999997</v>
      </c>
      <c r="Q20" s="28">
        <f t="shared" si="0"/>
        <v>5797090.4874999998</v>
      </c>
    </row>
    <row r="21" spans="1:17" ht="15" customHeight="1" x14ac:dyDescent="0.2">
      <c r="A21" s="1">
        <v>28</v>
      </c>
      <c r="B21" s="7" t="s">
        <v>16</v>
      </c>
      <c r="C21" s="7" t="s">
        <v>18</v>
      </c>
      <c r="D21" s="5"/>
      <c r="E21" s="7"/>
      <c r="F21" s="2" t="s">
        <v>10</v>
      </c>
      <c r="G21" s="3">
        <v>7658.38</v>
      </c>
      <c r="H21" s="3">
        <v>6796.91</v>
      </c>
      <c r="I21" s="3">
        <v>8840.39</v>
      </c>
      <c r="J21" s="3">
        <v>6529.85</v>
      </c>
      <c r="K21" s="3">
        <v>3429.8</v>
      </c>
      <c r="L21" s="3">
        <v>10032.629999999999</v>
      </c>
      <c r="M21" s="3">
        <v>2002.2</v>
      </c>
      <c r="N21" s="8">
        <v>5719</v>
      </c>
      <c r="O21" s="3">
        <v>5482.6925000000001</v>
      </c>
      <c r="P21" s="8">
        <v>7269.5974999999999</v>
      </c>
      <c r="Q21" s="28">
        <f t="shared" si="0"/>
        <v>63761.45</v>
      </c>
    </row>
    <row r="22" spans="1:17" ht="15" customHeight="1" x14ac:dyDescent="0.2">
      <c r="A22" s="1">
        <v>30</v>
      </c>
      <c r="B22" s="7" t="s">
        <v>16</v>
      </c>
      <c r="C22" s="7" t="s">
        <v>18</v>
      </c>
      <c r="D22" s="5"/>
      <c r="E22" s="2" t="s">
        <v>11</v>
      </c>
      <c r="F22" s="2" t="s">
        <v>11</v>
      </c>
      <c r="G22" s="3">
        <v>7208.86</v>
      </c>
      <c r="H22" s="3">
        <v>131804.79999999999</v>
      </c>
      <c r="I22" s="3">
        <v>7487.06</v>
      </c>
      <c r="J22" s="3">
        <v>125863.65</v>
      </c>
      <c r="K22" s="3">
        <v>8482.25</v>
      </c>
      <c r="L22" s="3">
        <v>115225.74</v>
      </c>
      <c r="M22" s="3">
        <v>6278.24</v>
      </c>
      <c r="N22" s="8">
        <v>125680.33</v>
      </c>
      <c r="O22" s="3">
        <v>7364.1024999999991</v>
      </c>
      <c r="P22" s="8">
        <v>124643.63</v>
      </c>
      <c r="Q22" s="28">
        <f t="shared" si="0"/>
        <v>660038.66249999998</v>
      </c>
    </row>
    <row r="23" spans="1:17" ht="15" customHeight="1" x14ac:dyDescent="0.2">
      <c r="A23" s="1">
        <v>31</v>
      </c>
      <c r="B23" s="7" t="s">
        <v>16</v>
      </c>
      <c r="C23" s="7" t="s">
        <v>18</v>
      </c>
      <c r="D23" s="5"/>
      <c r="E23" s="2" t="s">
        <v>12</v>
      </c>
      <c r="F23" s="2" t="s">
        <v>12</v>
      </c>
      <c r="G23" s="3">
        <v>47379.32</v>
      </c>
      <c r="H23" s="3">
        <v>36151.269999999997</v>
      </c>
      <c r="I23" s="3">
        <v>41626.25</v>
      </c>
      <c r="J23" s="3">
        <v>42917.09</v>
      </c>
      <c r="K23" s="3">
        <v>45654.8</v>
      </c>
      <c r="L23" s="3">
        <v>46795.17</v>
      </c>
      <c r="M23" s="3">
        <v>42222.400000000001</v>
      </c>
      <c r="N23" s="8">
        <v>39492.230000000003</v>
      </c>
      <c r="O23" s="3">
        <v>44220.692499999997</v>
      </c>
      <c r="P23" s="8">
        <v>41338.939999999995</v>
      </c>
      <c r="Q23" s="28">
        <f t="shared" si="0"/>
        <v>427798.16249999998</v>
      </c>
    </row>
    <row r="24" spans="1:17" ht="15" customHeight="1" x14ac:dyDescent="0.2">
      <c r="A24" s="1">
        <v>32</v>
      </c>
      <c r="B24" s="7" t="s">
        <v>16</v>
      </c>
      <c r="C24" s="7" t="s">
        <v>18</v>
      </c>
      <c r="D24" s="7"/>
      <c r="E24" s="2" t="s">
        <v>13</v>
      </c>
      <c r="F24" s="2" t="s">
        <v>13</v>
      </c>
      <c r="G24" s="3">
        <v>59310.12</v>
      </c>
      <c r="H24" s="3">
        <v>101431.25</v>
      </c>
      <c r="I24" s="3">
        <v>59436.29</v>
      </c>
      <c r="J24" s="3">
        <v>95059.41</v>
      </c>
      <c r="K24" s="3">
        <v>58483.39</v>
      </c>
      <c r="L24" s="3">
        <v>94345.82</v>
      </c>
      <c r="M24" s="3">
        <v>68513.09</v>
      </c>
      <c r="N24" s="8">
        <v>109409.39</v>
      </c>
      <c r="O24" s="3">
        <v>61435.722499999996</v>
      </c>
      <c r="P24" s="8">
        <v>100061.4675</v>
      </c>
      <c r="Q24" s="28">
        <f t="shared" si="0"/>
        <v>807485.95000000007</v>
      </c>
    </row>
    <row r="25" spans="1:17" ht="15" customHeight="1" x14ac:dyDescent="0.2">
      <c r="A25" s="1">
        <v>33</v>
      </c>
      <c r="B25" s="7" t="s">
        <v>16</v>
      </c>
      <c r="C25" s="7" t="s">
        <v>18</v>
      </c>
      <c r="D25" s="7"/>
      <c r="E25" s="2" t="s">
        <v>14</v>
      </c>
      <c r="F25" s="2" t="s">
        <v>14</v>
      </c>
      <c r="G25" s="3">
        <v>53901.14</v>
      </c>
      <c r="H25" s="3">
        <v>60566.879999999997</v>
      </c>
      <c r="I25" s="3">
        <v>59589.84</v>
      </c>
      <c r="J25" s="3">
        <v>57241.8</v>
      </c>
      <c r="K25" s="3">
        <v>56104.08</v>
      </c>
      <c r="L25" s="3">
        <v>62634.12</v>
      </c>
      <c r="M25" s="3">
        <v>48424.31</v>
      </c>
      <c r="N25" s="8">
        <v>67963.06</v>
      </c>
      <c r="O25" s="3">
        <v>54504.842499999999</v>
      </c>
      <c r="P25" s="8">
        <v>62101.464999999997</v>
      </c>
      <c r="Q25" s="28">
        <f t="shared" si="0"/>
        <v>583031.53749999998</v>
      </c>
    </row>
    <row r="26" spans="1:17" ht="15" customHeight="1" x14ac:dyDescent="0.2">
      <c r="A26" s="1">
        <v>34</v>
      </c>
      <c r="B26" s="7" t="s">
        <v>16</v>
      </c>
      <c r="C26" s="7" t="s">
        <v>19</v>
      </c>
      <c r="D26" s="26" t="s">
        <v>7</v>
      </c>
      <c r="E26" s="2"/>
      <c r="F26" s="2" t="s">
        <v>7</v>
      </c>
      <c r="G26" s="3">
        <v>781522</v>
      </c>
      <c r="H26" s="3">
        <v>878130</v>
      </c>
      <c r="I26" s="3">
        <v>784571</v>
      </c>
      <c r="J26" s="3">
        <v>881887</v>
      </c>
      <c r="K26" s="3">
        <v>787579</v>
      </c>
      <c r="L26" s="3">
        <v>885608</v>
      </c>
      <c r="M26" s="3">
        <v>790481</v>
      </c>
      <c r="N26" s="8">
        <v>889199</v>
      </c>
      <c r="O26" s="3">
        <v>786038.25</v>
      </c>
      <c r="P26" s="8">
        <v>883706</v>
      </c>
      <c r="Q26" s="28">
        <f t="shared" si="0"/>
        <v>8348721.25</v>
      </c>
    </row>
    <row r="27" spans="1:17" ht="15" customHeight="1" x14ac:dyDescent="0.2">
      <c r="A27" s="1">
        <v>36</v>
      </c>
      <c r="B27" s="7" t="s">
        <v>16</v>
      </c>
      <c r="C27" s="7" t="s">
        <v>19</v>
      </c>
      <c r="D27" s="5"/>
      <c r="E27" s="2" t="s">
        <v>8</v>
      </c>
      <c r="F27" s="2" t="s">
        <v>8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8">
        <v>0</v>
      </c>
      <c r="O27" s="3">
        <v>0</v>
      </c>
      <c r="P27" s="8">
        <v>0</v>
      </c>
      <c r="Q27" s="28">
        <f t="shared" si="0"/>
        <v>0</v>
      </c>
    </row>
    <row r="28" spans="1:17" ht="15" customHeight="1" x14ac:dyDescent="0.2">
      <c r="A28" s="1">
        <v>38</v>
      </c>
      <c r="B28" s="7" t="s">
        <v>16</v>
      </c>
      <c r="C28" s="7" t="s">
        <v>19</v>
      </c>
      <c r="D28" s="5"/>
      <c r="E28" s="5"/>
      <c r="F28" s="2" t="s">
        <v>9</v>
      </c>
      <c r="G28" s="3">
        <v>598420.98</v>
      </c>
      <c r="H28" s="3">
        <v>559072.44999999995</v>
      </c>
      <c r="I28" s="3">
        <v>608164.37</v>
      </c>
      <c r="J28" s="3">
        <v>538644.55000000005</v>
      </c>
      <c r="K28" s="3">
        <v>601551.81999999995</v>
      </c>
      <c r="L28" s="3">
        <v>534919.75</v>
      </c>
      <c r="M28" s="3">
        <v>599329.46</v>
      </c>
      <c r="N28" s="8">
        <v>525791.85</v>
      </c>
      <c r="O28" s="3">
        <v>601866.65749999997</v>
      </c>
      <c r="P28" s="8">
        <v>539607.15</v>
      </c>
      <c r="Q28" s="28">
        <f t="shared" si="0"/>
        <v>5707369.0374999996</v>
      </c>
    </row>
    <row r="29" spans="1:17" ht="15" customHeight="1" x14ac:dyDescent="0.2">
      <c r="A29" s="1">
        <v>39</v>
      </c>
      <c r="B29" s="7" t="s">
        <v>16</v>
      </c>
      <c r="C29" s="7" t="s">
        <v>19</v>
      </c>
      <c r="D29" s="5"/>
      <c r="E29" s="5"/>
      <c r="F29" s="2" t="s">
        <v>10</v>
      </c>
      <c r="G29" s="3">
        <v>8306.57</v>
      </c>
      <c r="H29" s="3">
        <v>5378.7</v>
      </c>
      <c r="I29" s="3">
        <v>5205.38</v>
      </c>
      <c r="J29" s="3">
        <v>6187.11</v>
      </c>
      <c r="K29" s="3">
        <v>11514.16</v>
      </c>
      <c r="L29" s="3">
        <v>12081.87</v>
      </c>
      <c r="M29" s="3">
        <v>12176.99</v>
      </c>
      <c r="N29" s="8">
        <v>11589.15</v>
      </c>
      <c r="O29" s="3">
        <v>9300.7749999999996</v>
      </c>
      <c r="P29" s="8">
        <v>8809.2075000000004</v>
      </c>
      <c r="Q29" s="28">
        <f t="shared" si="0"/>
        <v>90549.912499999991</v>
      </c>
    </row>
    <row r="30" spans="1:17" ht="15" customHeight="1" x14ac:dyDescent="0.2">
      <c r="A30" s="1">
        <v>41</v>
      </c>
      <c r="B30" s="7" t="s">
        <v>16</v>
      </c>
      <c r="C30" s="7" t="s">
        <v>19</v>
      </c>
      <c r="D30" s="7"/>
      <c r="E30" s="2" t="s">
        <v>11</v>
      </c>
      <c r="F30" s="2" t="s">
        <v>11</v>
      </c>
      <c r="G30" s="3">
        <v>11357.92</v>
      </c>
      <c r="H30" s="3">
        <v>148864.70000000001</v>
      </c>
      <c r="I30" s="3">
        <v>6415.13</v>
      </c>
      <c r="J30" s="3">
        <v>167305.54999999999</v>
      </c>
      <c r="K30" s="3">
        <v>10935.59</v>
      </c>
      <c r="L30" s="3">
        <v>144992.35999999999</v>
      </c>
      <c r="M30" s="3">
        <v>11621.27</v>
      </c>
      <c r="N30" s="8">
        <v>156627.45000000001</v>
      </c>
      <c r="O30" s="3">
        <v>10082.477500000001</v>
      </c>
      <c r="P30" s="8">
        <v>154447.51500000001</v>
      </c>
      <c r="Q30" s="28">
        <f t="shared" si="0"/>
        <v>822649.96250000014</v>
      </c>
    </row>
    <row r="31" spans="1:17" ht="15" customHeight="1" x14ac:dyDescent="0.2">
      <c r="A31" s="1">
        <v>42</v>
      </c>
      <c r="B31" s="7" t="s">
        <v>16</v>
      </c>
      <c r="C31" s="7" t="s">
        <v>19</v>
      </c>
      <c r="D31" s="5"/>
      <c r="E31" s="2" t="s">
        <v>12</v>
      </c>
      <c r="F31" s="2" t="s">
        <v>12</v>
      </c>
      <c r="G31" s="3">
        <v>43167.42</v>
      </c>
      <c r="H31" s="3">
        <v>26406.799999999999</v>
      </c>
      <c r="I31" s="3">
        <v>38521.56</v>
      </c>
      <c r="J31" s="3">
        <v>25304.71</v>
      </c>
      <c r="K31" s="3">
        <v>37960.379999999997</v>
      </c>
      <c r="L31" s="3">
        <v>35760.699999999997</v>
      </c>
      <c r="M31" s="3">
        <v>40221.22</v>
      </c>
      <c r="N31" s="8">
        <v>31458.959999999999</v>
      </c>
      <c r="O31" s="3">
        <v>39967.644999999997</v>
      </c>
      <c r="P31" s="8">
        <v>29732.792499999996</v>
      </c>
      <c r="Q31" s="28">
        <f t="shared" si="0"/>
        <v>348502.1875</v>
      </c>
    </row>
    <row r="32" spans="1:17" ht="15" customHeight="1" x14ac:dyDescent="0.2">
      <c r="A32" s="1">
        <v>43</v>
      </c>
      <c r="B32" s="7" t="s">
        <v>16</v>
      </c>
      <c r="C32" s="7" t="s">
        <v>19</v>
      </c>
      <c r="D32" s="5"/>
      <c r="E32" s="2" t="s">
        <v>13</v>
      </c>
      <c r="F32" s="2" t="s">
        <v>13</v>
      </c>
      <c r="G32" s="3">
        <v>60135.66</v>
      </c>
      <c r="H32" s="3">
        <v>85644.4</v>
      </c>
      <c r="I32" s="3">
        <v>64901.88</v>
      </c>
      <c r="J32" s="3">
        <v>85279.94</v>
      </c>
      <c r="K32" s="3">
        <v>73284.41</v>
      </c>
      <c r="L32" s="3">
        <v>91844.800000000003</v>
      </c>
      <c r="M32" s="3">
        <v>74791.850000000006</v>
      </c>
      <c r="N32" s="8">
        <v>97570.06</v>
      </c>
      <c r="O32" s="3">
        <v>68278.450000000012</v>
      </c>
      <c r="P32" s="8">
        <v>90084.800000000003</v>
      </c>
      <c r="Q32" s="28">
        <f t="shared" si="0"/>
        <v>791816.25</v>
      </c>
    </row>
    <row r="33" spans="1:17" ht="15" customHeight="1" x14ac:dyDescent="0.2">
      <c r="A33" s="1">
        <v>44</v>
      </c>
      <c r="B33" s="7" t="s">
        <v>16</v>
      </c>
      <c r="C33" s="7" t="s">
        <v>19</v>
      </c>
      <c r="D33" s="5"/>
      <c r="E33" s="2" t="s">
        <v>14</v>
      </c>
      <c r="F33" s="2" t="s">
        <v>14</v>
      </c>
      <c r="G33" s="3">
        <v>60133.46</v>
      </c>
      <c r="H33" s="3">
        <v>52762.95</v>
      </c>
      <c r="I33" s="3">
        <v>61362.68</v>
      </c>
      <c r="J33" s="3">
        <v>59165.14</v>
      </c>
      <c r="K33" s="3">
        <v>52332.65</v>
      </c>
      <c r="L33" s="3">
        <v>66008.52</v>
      </c>
      <c r="M33" s="3">
        <v>52340.2</v>
      </c>
      <c r="N33" s="8">
        <v>66161.53</v>
      </c>
      <c r="O33" s="3">
        <v>56542.247499999998</v>
      </c>
      <c r="P33" s="8">
        <v>61024.534999999996</v>
      </c>
      <c r="Q33" s="28">
        <f t="shared" si="0"/>
        <v>587833.91249999998</v>
      </c>
    </row>
    <row r="34" spans="1:17" ht="15" customHeight="1" x14ac:dyDescent="0.2">
      <c r="A34" s="1">
        <v>45</v>
      </c>
      <c r="B34" s="7" t="s">
        <v>16</v>
      </c>
      <c r="C34" s="7" t="s">
        <v>20</v>
      </c>
      <c r="D34" s="26" t="s">
        <v>7</v>
      </c>
      <c r="E34" s="2"/>
      <c r="F34" s="2" t="s">
        <v>7</v>
      </c>
      <c r="G34" s="3">
        <v>381811</v>
      </c>
      <c r="H34" s="3">
        <v>405884</v>
      </c>
      <c r="I34" s="3">
        <v>382446</v>
      </c>
      <c r="J34" s="3">
        <v>406399</v>
      </c>
      <c r="K34" s="3">
        <v>383059</v>
      </c>
      <c r="L34" s="3">
        <v>406889</v>
      </c>
      <c r="M34" s="3">
        <v>383621</v>
      </c>
      <c r="N34" s="8">
        <v>407317</v>
      </c>
      <c r="O34" s="3">
        <v>382734.25</v>
      </c>
      <c r="P34" s="8">
        <v>406622.25</v>
      </c>
      <c r="Q34" s="28">
        <f t="shared" si="0"/>
        <v>3946782.5</v>
      </c>
    </row>
    <row r="35" spans="1:17" ht="15" customHeight="1" x14ac:dyDescent="0.2">
      <c r="A35" s="1">
        <v>47</v>
      </c>
      <c r="B35" s="7" t="s">
        <v>16</v>
      </c>
      <c r="C35" s="7" t="s">
        <v>20</v>
      </c>
      <c r="D35" s="7"/>
      <c r="E35" s="2" t="s">
        <v>8</v>
      </c>
      <c r="F35" s="2" t="s">
        <v>8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8">
        <v>0</v>
      </c>
      <c r="O35" s="3">
        <v>0</v>
      </c>
      <c r="P35" s="8">
        <v>0</v>
      </c>
      <c r="Q35" s="28">
        <f t="shared" si="0"/>
        <v>0</v>
      </c>
    </row>
    <row r="36" spans="1:17" ht="15" customHeight="1" x14ac:dyDescent="0.2">
      <c r="A36" s="1">
        <v>49</v>
      </c>
      <c r="B36" s="7" t="s">
        <v>16</v>
      </c>
      <c r="C36" s="7" t="s">
        <v>20</v>
      </c>
      <c r="D36" s="7"/>
      <c r="E36" s="7"/>
      <c r="F36" s="2" t="s">
        <v>9</v>
      </c>
      <c r="G36" s="3">
        <v>282764.77</v>
      </c>
      <c r="H36" s="3">
        <v>250578.92</v>
      </c>
      <c r="I36" s="3">
        <v>282096.8</v>
      </c>
      <c r="J36" s="3">
        <v>245863.79</v>
      </c>
      <c r="K36" s="3">
        <v>277680.34999999998</v>
      </c>
      <c r="L36" s="3">
        <v>237214.52</v>
      </c>
      <c r="M36" s="3">
        <v>274269.94</v>
      </c>
      <c r="N36" s="8">
        <v>247748.86</v>
      </c>
      <c r="O36" s="3">
        <v>279202.96500000003</v>
      </c>
      <c r="P36" s="8">
        <v>245351.52249999999</v>
      </c>
      <c r="Q36" s="28">
        <f t="shared" si="0"/>
        <v>2622772.4374999995</v>
      </c>
    </row>
    <row r="37" spans="1:17" ht="15" customHeight="1" x14ac:dyDescent="0.2">
      <c r="A37" s="1">
        <v>50</v>
      </c>
      <c r="B37" s="7" t="s">
        <v>16</v>
      </c>
      <c r="C37" s="7" t="s">
        <v>20</v>
      </c>
      <c r="D37" s="5"/>
      <c r="E37" s="7"/>
      <c r="F37" s="2" t="s">
        <v>10</v>
      </c>
      <c r="G37" s="3">
        <v>7317.98</v>
      </c>
      <c r="H37" s="3">
        <v>1929.1</v>
      </c>
      <c r="I37" s="3">
        <v>6445</v>
      </c>
      <c r="J37" s="3">
        <v>4874.82</v>
      </c>
      <c r="K37" s="3">
        <v>6143.24</v>
      </c>
      <c r="L37" s="3">
        <v>4582.79</v>
      </c>
      <c r="M37" s="3">
        <v>4744.88</v>
      </c>
      <c r="N37" s="8">
        <v>1173.44</v>
      </c>
      <c r="O37" s="3">
        <v>6162.7750000000005</v>
      </c>
      <c r="P37" s="8">
        <v>3140.0374999999999</v>
      </c>
      <c r="Q37" s="28">
        <f t="shared" si="0"/>
        <v>46514.0625</v>
      </c>
    </row>
    <row r="38" spans="1:17" ht="15" customHeight="1" x14ac:dyDescent="0.2">
      <c r="A38" s="1">
        <v>52</v>
      </c>
      <c r="B38" s="7" t="s">
        <v>16</v>
      </c>
      <c r="C38" s="7" t="s">
        <v>20</v>
      </c>
      <c r="D38" s="5"/>
      <c r="E38" s="2" t="s">
        <v>11</v>
      </c>
      <c r="F38" s="2" t="s">
        <v>11</v>
      </c>
      <c r="G38" s="3">
        <v>5096.53</v>
      </c>
      <c r="H38" s="3">
        <v>57673.87</v>
      </c>
      <c r="I38" s="3">
        <v>5758.91</v>
      </c>
      <c r="J38" s="3">
        <v>58499.43</v>
      </c>
      <c r="K38" s="3">
        <v>6846.18</v>
      </c>
      <c r="L38" s="3">
        <v>68307.87</v>
      </c>
      <c r="M38" s="3">
        <v>10105.200000000001</v>
      </c>
      <c r="N38" s="8">
        <v>62320.75</v>
      </c>
      <c r="O38" s="3">
        <v>6951.7049999999999</v>
      </c>
      <c r="P38" s="8">
        <v>61700.479999999996</v>
      </c>
      <c r="Q38" s="28">
        <f t="shared" si="0"/>
        <v>343260.92499999999</v>
      </c>
    </row>
    <row r="39" spans="1:17" ht="15" customHeight="1" x14ac:dyDescent="0.2">
      <c r="A39" s="1">
        <v>53</v>
      </c>
      <c r="B39" s="7" t="s">
        <v>16</v>
      </c>
      <c r="C39" s="7" t="s">
        <v>20</v>
      </c>
      <c r="D39" s="5"/>
      <c r="E39" s="26" t="s">
        <v>12</v>
      </c>
      <c r="F39" s="2" t="s">
        <v>12</v>
      </c>
      <c r="G39" s="3">
        <v>19641.29</v>
      </c>
      <c r="H39" s="3">
        <v>10341.780000000001</v>
      </c>
      <c r="I39" s="3">
        <v>25013.61</v>
      </c>
      <c r="J39" s="3">
        <v>12543.8</v>
      </c>
      <c r="K39" s="3">
        <v>25500.28</v>
      </c>
      <c r="L39" s="3">
        <v>12712</v>
      </c>
      <c r="M39" s="3">
        <v>18487.86</v>
      </c>
      <c r="N39" s="8">
        <v>11140.02</v>
      </c>
      <c r="O39" s="3">
        <v>22160.76</v>
      </c>
      <c r="P39" s="8">
        <v>11684.400000000001</v>
      </c>
      <c r="Q39" s="28">
        <f t="shared" si="0"/>
        <v>169225.8</v>
      </c>
    </row>
    <row r="40" spans="1:17" ht="15" customHeight="1" x14ac:dyDescent="0.2">
      <c r="A40" s="1">
        <v>54</v>
      </c>
      <c r="B40" s="7" t="s">
        <v>16</v>
      </c>
      <c r="C40" s="7" t="s">
        <v>20</v>
      </c>
      <c r="D40" s="5"/>
      <c r="E40" s="26" t="s">
        <v>13</v>
      </c>
      <c r="F40" s="2" t="s">
        <v>13</v>
      </c>
      <c r="G40" s="3">
        <v>35491.5</v>
      </c>
      <c r="H40" s="3">
        <v>50780.28</v>
      </c>
      <c r="I40" s="3">
        <v>35371.1</v>
      </c>
      <c r="J40" s="3">
        <v>53098.5</v>
      </c>
      <c r="K40" s="3">
        <v>37866.910000000003</v>
      </c>
      <c r="L40" s="3">
        <v>54861.59</v>
      </c>
      <c r="M40" s="3">
        <v>42310.17</v>
      </c>
      <c r="N40" s="8">
        <v>54524.68</v>
      </c>
      <c r="O40" s="3">
        <v>37759.919999999998</v>
      </c>
      <c r="P40" s="8">
        <v>53316.262499999997</v>
      </c>
      <c r="Q40" s="28">
        <f t="shared" si="0"/>
        <v>455380.91249999998</v>
      </c>
    </row>
    <row r="41" spans="1:17" ht="15" customHeight="1" x14ac:dyDescent="0.2">
      <c r="A41" s="1">
        <v>55</v>
      </c>
      <c r="B41" s="7" t="s">
        <v>16</v>
      </c>
      <c r="C41" s="7" t="s">
        <v>20</v>
      </c>
      <c r="D41" s="7"/>
      <c r="E41" s="2" t="s">
        <v>14</v>
      </c>
      <c r="F41" s="2" t="s">
        <v>14</v>
      </c>
      <c r="G41" s="3">
        <v>31498.92</v>
      </c>
      <c r="H41" s="3">
        <v>34580.04</v>
      </c>
      <c r="I41" s="3">
        <v>27760.58</v>
      </c>
      <c r="J41" s="3">
        <v>31518.66</v>
      </c>
      <c r="K41" s="3">
        <v>29022.04</v>
      </c>
      <c r="L41" s="3">
        <v>29210.23</v>
      </c>
      <c r="M41" s="3">
        <v>33702.949999999997</v>
      </c>
      <c r="N41" s="8">
        <v>30409.25</v>
      </c>
      <c r="O41" s="3">
        <v>30496.122500000001</v>
      </c>
      <c r="P41" s="8">
        <v>31429.544999999998</v>
      </c>
      <c r="Q41" s="28">
        <f t="shared" si="0"/>
        <v>309628.33749999997</v>
      </c>
    </row>
    <row r="42" spans="1:17" ht="15" customHeight="1" x14ac:dyDescent="0.2">
      <c r="A42" s="1">
        <v>56</v>
      </c>
      <c r="B42" s="7" t="s">
        <v>16</v>
      </c>
      <c r="C42" s="7" t="s">
        <v>21</v>
      </c>
      <c r="D42" s="26" t="s">
        <v>7</v>
      </c>
      <c r="E42" s="2"/>
      <c r="F42" s="2" t="s">
        <v>7</v>
      </c>
      <c r="G42" s="3">
        <v>101027</v>
      </c>
      <c r="H42" s="3">
        <v>107434</v>
      </c>
      <c r="I42" s="3">
        <v>100998</v>
      </c>
      <c r="J42" s="3">
        <v>107357</v>
      </c>
      <c r="K42" s="3">
        <v>100963</v>
      </c>
      <c r="L42" s="3">
        <v>107277</v>
      </c>
      <c r="M42" s="3">
        <v>100923</v>
      </c>
      <c r="N42" s="8">
        <v>107191</v>
      </c>
      <c r="O42" s="3">
        <v>100977.75</v>
      </c>
      <c r="P42" s="8">
        <v>107314.75</v>
      </c>
      <c r="Q42" s="28">
        <f t="shared" si="0"/>
        <v>1041462.5</v>
      </c>
    </row>
    <row r="43" spans="1:17" ht="15" customHeight="1" x14ac:dyDescent="0.2">
      <c r="A43" s="1">
        <v>58</v>
      </c>
      <c r="B43" s="7" t="s">
        <v>16</v>
      </c>
      <c r="C43" s="7" t="s">
        <v>21</v>
      </c>
      <c r="D43" s="5"/>
      <c r="E43" s="2" t="s">
        <v>8</v>
      </c>
      <c r="F43" s="2" t="s">
        <v>8</v>
      </c>
      <c r="G43" s="3">
        <v>98.29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8">
        <v>0</v>
      </c>
      <c r="O43" s="3">
        <v>24.572500000000002</v>
      </c>
      <c r="P43" s="8">
        <v>0</v>
      </c>
      <c r="Q43" s="28">
        <f t="shared" si="0"/>
        <v>122.86250000000001</v>
      </c>
    </row>
    <row r="44" spans="1:17" ht="15" customHeight="1" x14ac:dyDescent="0.2">
      <c r="A44" s="1">
        <v>60</v>
      </c>
      <c r="B44" s="7" t="s">
        <v>16</v>
      </c>
      <c r="C44" s="7" t="s">
        <v>21</v>
      </c>
      <c r="D44" s="5"/>
      <c r="E44" s="7"/>
      <c r="F44" s="2" t="s">
        <v>9</v>
      </c>
      <c r="G44" s="3">
        <v>68529.820000000007</v>
      </c>
      <c r="H44" s="3">
        <v>58826.14</v>
      </c>
      <c r="I44" s="3">
        <v>69862.240000000005</v>
      </c>
      <c r="J44" s="3">
        <v>57358.91</v>
      </c>
      <c r="K44" s="3">
        <v>69538.69</v>
      </c>
      <c r="L44" s="3">
        <v>57396.85</v>
      </c>
      <c r="M44" s="3">
        <v>65475.51</v>
      </c>
      <c r="N44" s="8">
        <v>55805.93</v>
      </c>
      <c r="O44" s="3">
        <v>68351.565000000002</v>
      </c>
      <c r="P44" s="8">
        <v>57346.957499999997</v>
      </c>
      <c r="Q44" s="28">
        <f t="shared" si="0"/>
        <v>628492.61250000005</v>
      </c>
    </row>
    <row r="45" spans="1:17" ht="15" customHeight="1" x14ac:dyDescent="0.2">
      <c r="A45" s="1">
        <v>61</v>
      </c>
      <c r="B45" s="7" t="s">
        <v>16</v>
      </c>
      <c r="C45" s="7" t="s">
        <v>21</v>
      </c>
      <c r="D45" s="5"/>
      <c r="E45" s="7"/>
      <c r="F45" s="2" t="s">
        <v>10</v>
      </c>
      <c r="G45" s="3">
        <v>1462.39</v>
      </c>
      <c r="H45" s="3">
        <v>860.26</v>
      </c>
      <c r="I45" s="3">
        <v>1400.88</v>
      </c>
      <c r="J45" s="3">
        <v>739.6</v>
      </c>
      <c r="K45" s="3">
        <v>478.95</v>
      </c>
      <c r="L45" s="3">
        <v>403.91</v>
      </c>
      <c r="M45" s="3">
        <v>926.94</v>
      </c>
      <c r="N45" s="8">
        <v>330.16</v>
      </c>
      <c r="O45" s="3">
        <v>1067.29</v>
      </c>
      <c r="P45" s="8">
        <v>583.48250000000007</v>
      </c>
      <c r="Q45" s="28">
        <f t="shared" si="0"/>
        <v>8253.8624999999993</v>
      </c>
    </row>
    <row r="46" spans="1:17" ht="15" customHeight="1" x14ac:dyDescent="0.2">
      <c r="A46" s="1">
        <v>63</v>
      </c>
      <c r="B46" s="7" t="s">
        <v>16</v>
      </c>
      <c r="C46" s="7" t="s">
        <v>21</v>
      </c>
      <c r="D46" s="7"/>
      <c r="E46" s="2" t="s">
        <v>11</v>
      </c>
      <c r="F46" s="2" t="s">
        <v>11</v>
      </c>
      <c r="G46" s="3">
        <v>5017.7700000000004</v>
      </c>
      <c r="H46" s="3">
        <v>18366.66</v>
      </c>
      <c r="I46" s="3">
        <v>3906.62</v>
      </c>
      <c r="J46" s="3">
        <v>20805.240000000002</v>
      </c>
      <c r="K46" s="3">
        <v>4779.9399999999996</v>
      </c>
      <c r="L46" s="3">
        <v>21454.2</v>
      </c>
      <c r="M46" s="3">
        <v>6577.51</v>
      </c>
      <c r="N46" s="8">
        <v>23428.22</v>
      </c>
      <c r="O46" s="3">
        <v>5070.4599999999991</v>
      </c>
      <c r="P46" s="8">
        <v>21013.58</v>
      </c>
      <c r="Q46" s="28">
        <f t="shared" si="0"/>
        <v>130420.2</v>
      </c>
    </row>
    <row r="47" spans="1:17" ht="15" customHeight="1" x14ac:dyDescent="0.2">
      <c r="A47" s="1">
        <v>64</v>
      </c>
      <c r="B47" s="7" t="s">
        <v>16</v>
      </c>
      <c r="C47" s="7" t="s">
        <v>21</v>
      </c>
      <c r="D47" s="7"/>
      <c r="E47" s="2" t="s">
        <v>12</v>
      </c>
      <c r="F47" s="2" t="s">
        <v>12</v>
      </c>
      <c r="G47" s="3">
        <v>5747.28</v>
      </c>
      <c r="H47" s="3">
        <v>3552.58</v>
      </c>
      <c r="I47" s="3">
        <v>5732.63</v>
      </c>
      <c r="J47" s="3">
        <v>3544.42</v>
      </c>
      <c r="K47" s="3">
        <v>8226.76</v>
      </c>
      <c r="L47" s="3">
        <v>4067.23</v>
      </c>
      <c r="M47" s="3">
        <v>7402.95</v>
      </c>
      <c r="N47" s="8">
        <v>3133.21</v>
      </c>
      <c r="O47" s="3">
        <v>6777.4049999999997</v>
      </c>
      <c r="P47" s="8">
        <v>3574.3599999999997</v>
      </c>
      <c r="Q47" s="28">
        <f t="shared" si="0"/>
        <v>51758.825000000004</v>
      </c>
    </row>
    <row r="48" spans="1:17" ht="15" customHeight="1" x14ac:dyDescent="0.2">
      <c r="A48" s="1">
        <v>65</v>
      </c>
      <c r="B48" s="7" t="s">
        <v>16</v>
      </c>
      <c r="C48" s="7" t="s">
        <v>21</v>
      </c>
      <c r="D48" s="5"/>
      <c r="E48" s="2" t="s">
        <v>13</v>
      </c>
      <c r="F48" s="2" t="s">
        <v>13</v>
      </c>
      <c r="G48" s="3">
        <v>12688.35</v>
      </c>
      <c r="H48" s="3">
        <v>16088.78</v>
      </c>
      <c r="I48" s="3">
        <v>12388.89</v>
      </c>
      <c r="J48" s="3">
        <v>16452.169999999998</v>
      </c>
      <c r="K48" s="3">
        <v>11941.74</v>
      </c>
      <c r="L48" s="3">
        <v>17329.919999999998</v>
      </c>
      <c r="M48" s="3">
        <v>13064.03</v>
      </c>
      <c r="N48" s="8">
        <v>16573.93</v>
      </c>
      <c r="O48" s="3">
        <v>12520.752499999999</v>
      </c>
      <c r="P48" s="8">
        <v>16611.199999999997</v>
      </c>
      <c r="Q48" s="28">
        <f t="shared" si="0"/>
        <v>145659.76250000001</v>
      </c>
    </row>
    <row r="49" spans="1:17" ht="15" customHeight="1" x14ac:dyDescent="0.2">
      <c r="A49" s="1">
        <v>66</v>
      </c>
      <c r="B49" s="7" t="s">
        <v>16</v>
      </c>
      <c r="C49" s="7" t="s">
        <v>21</v>
      </c>
      <c r="D49" s="5"/>
      <c r="E49" s="2" t="s">
        <v>14</v>
      </c>
      <c r="F49" s="2" t="s">
        <v>14</v>
      </c>
      <c r="G49" s="3">
        <v>7483.1</v>
      </c>
      <c r="H49" s="3">
        <v>9739.59</v>
      </c>
      <c r="I49" s="3">
        <v>7706.73</v>
      </c>
      <c r="J49" s="3">
        <v>8456.66</v>
      </c>
      <c r="K49" s="3">
        <v>5996.93</v>
      </c>
      <c r="L49" s="3">
        <v>6624.89</v>
      </c>
      <c r="M49" s="3">
        <v>7476.05</v>
      </c>
      <c r="N49" s="8">
        <v>7919.56</v>
      </c>
      <c r="O49" s="3">
        <v>7165.7025000000003</v>
      </c>
      <c r="P49" s="8">
        <v>8185.1750000000002</v>
      </c>
      <c r="Q49" s="28">
        <f t="shared" si="0"/>
        <v>76754.387500000012</v>
      </c>
    </row>
    <row r="50" spans="1:17" ht="15" customHeight="1" x14ac:dyDescent="0.2">
      <c r="A50" s="1">
        <v>67</v>
      </c>
      <c r="B50" s="7" t="s">
        <v>16</v>
      </c>
      <c r="C50" s="7" t="s">
        <v>22</v>
      </c>
      <c r="D50" s="26" t="s">
        <v>7</v>
      </c>
      <c r="E50" s="26"/>
      <c r="F50" s="2" t="s">
        <v>7</v>
      </c>
      <c r="G50" s="3">
        <v>319261</v>
      </c>
      <c r="H50" s="3">
        <v>339732</v>
      </c>
      <c r="I50" s="3">
        <v>319415</v>
      </c>
      <c r="J50" s="3">
        <v>339762</v>
      </c>
      <c r="K50" s="3">
        <v>319555</v>
      </c>
      <c r="L50" s="3">
        <v>339780</v>
      </c>
      <c r="M50" s="3">
        <v>319661</v>
      </c>
      <c r="N50" s="8">
        <v>339756</v>
      </c>
      <c r="O50" s="3">
        <v>319473</v>
      </c>
      <c r="P50" s="8">
        <v>339757.5</v>
      </c>
      <c r="Q50" s="28">
        <f t="shared" si="0"/>
        <v>3296152.5</v>
      </c>
    </row>
    <row r="51" spans="1:17" ht="15" customHeight="1" x14ac:dyDescent="0.2">
      <c r="A51" s="1">
        <v>69</v>
      </c>
      <c r="B51" s="7" t="s">
        <v>16</v>
      </c>
      <c r="C51" s="7" t="s">
        <v>22</v>
      </c>
      <c r="D51" s="5"/>
      <c r="E51" s="26" t="s">
        <v>8</v>
      </c>
      <c r="F51" s="2" t="s">
        <v>8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382.1</v>
      </c>
      <c r="N51" s="8">
        <v>392.65</v>
      </c>
      <c r="O51" s="3">
        <v>95.525000000000006</v>
      </c>
      <c r="P51" s="8">
        <v>98.162499999999994</v>
      </c>
      <c r="Q51" s="28">
        <f t="shared" si="0"/>
        <v>968.4375</v>
      </c>
    </row>
    <row r="52" spans="1:17" ht="15" customHeight="1" x14ac:dyDescent="0.2">
      <c r="A52" s="1">
        <v>71</v>
      </c>
      <c r="B52" s="7" t="s">
        <v>16</v>
      </c>
      <c r="C52" s="7" t="s">
        <v>22</v>
      </c>
      <c r="D52" s="7"/>
      <c r="E52" s="7"/>
      <c r="F52" s="2" t="s">
        <v>9</v>
      </c>
      <c r="G52" s="3">
        <v>233220.76</v>
      </c>
      <c r="H52" s="3">
        <v>189663.39</v>
      </c>
      <c r="I52" s="3">
        <v>237006.02</v>
      </c>
      <c r="J52" s="3">
        <v>206518.14</v>
      </c>
      <c r="K52" s="3">
        <v>244110.81</v>
      </c>
      <c r="L52" s="3">
        <v>209253.69</v>
      </c>
      <c r="M52" s="3">
        <v>237789.98</v>
      </c>
      <c r="N52" s="8">
        <v>196606.74</v>
      </c>
      <c r="O52" s="3">
        <v>238031.89250000002</v>
      </c>
      <c r="P52" s="8">
        <v>200510.49</v>
      </c>
      <c r="Q52" s="28">
        <f t="shared" si="0"/>
        <v>2192711.9125000001</v>
      </c>
    </row>
    <row r="53" spans="1:17" ht="15" customHeight="1" x14ac:dyDescent="0.2">
      <c r="A53" s="1">
        <v>72</v>
      </c>
      <c r="B53" s="7" t="s">
        <v>16</v>
      </c>
      <c r="C53" s="7" t="s">
        <v>22</v>
      </c>
      <c r="D53" s="5"/>
      <c r="E53" s="7"/>
      <c r="F53" s="2" t="s">
        <v>10</v>
      </c>
      <c r="G53" s="3">
        <v>5551.4</v>
      </c>
      <c r="H53" s="3">
        <v>5795.94</v>
      </c>
      <c r="I53" s="3">
        <v>4041.12</v>
      </c>
      <c r="J53" s="3">
        <v>4489.51</v>
      </c>
      <c r="K53" s="3">
        <v>3479.32</v>
      </c>
      <c r="L53" s="3">
        <v>2230.15</v>
      </c>
      <c r="M53" s="3">
        <v>4138.66</v>
      </c>
      <c r="N53" s="8">
        <v>2385.31</v>
      </c>
      <c r="O53" s="3">
        <v>4302.625</v>
      </c>
      <c r="P53" s="8">
        <v>3725.2275</v>
      </c>
      <c r="Q53" s="28">
        <f t="shared" si="0"/>
        <v>40139.262500000004</v>
      </c>
    </row>
    <row r="54" spans="1:17" ht="15" customHeight="1" x14ac:dyDescent="0.2">
      <c r="A54" s="1">
        <v>74</v>
      </c>
      <c r="B54" s="7" t="s">
        <v>16</v>
      </c>
      <c r="C54" s="7" t="s">
        <v>22</v>
      </c>
      <c r="D54" s="5"/>
      <c r="E54" s="2" t="s">
        <v>11</v>
      </c>
      <c r="F54" s="2" t="s">
        <v>11</v>
      </c>
      <c r="G54" s="3">
        <v>2540.63</v>
      </c>
      <c r="H54" s="3">
        <v>60216.08</v>
      </c>
      <c r="I54" s="3">
        <v>1284.71</v>
      </c>
      <c r="J54" s="3">
        <v>51856.18</v>
      </c>
      <c r="K54" s="3">
        <v>3914.75</v>
      </c>
      <c r="L54" s="3">
        <v>48495.19</v>
      </c>
      <c r="M54" s="3">
        <v>4134.46</v>
      </c>
      <c r="N54" s="8">
        <v>54888.13</v>
      </c>
      <c r="O54" s="3">
        <v>2968.6374999999998</v>
      </c>
      <c r="P54" s="8">
        <v>53863.895000000004</v>
      </c>
      <c r="Q54" s="28">
        <f t="shared" si="0"/>
        <v>284162.66250000003</v>
      </c>
    </row>
    <row r="55" spans="1:17" ht="15" customHeight="1" x14ac:dyDescent="0.2">
      <c r="A55" s="1">
        <v>75</v>
      </c>
      <c r="B55" s="7" t="s">
        <v>16</v>
      </c>
      <c r="C55" s="7" t="s">
        <v>22</v>
      </c>
      <c r="D55" s="5"/>
      <c r="E55" s="2" t="s">
        <v>12</v>
      </c>
      <c r="F55" s="2" t="s">
        <v>12</v>
      </c>
      <c r="G55" s="3">
        <v>20237.93</v>
      </c>
      <c r="H55" s="3">
        <v>14918.75</v>
      </c>
      <c r="I55" s="3">
        <v>22207.24</v>
      </c>
      <c r="J55" s="3">
        <v>8605.2900000000009</v>
      </c>
      <c r="K55" s="3">
        <v>19153.89</v>
      </c>
      <c r="L55" s="3">
        <v>8135.52</v>
      </c>
      <c r="M55" s="3">
        <v>23183.9</v>
      </c>
      <c r="N55" s="8">
        <v>10309.299999999999</v>
      </c>
      <c r="O55" s="3">
        <v>21195.739999999998</v>
      </c>
      <c r="P55" s="8">
        <v>10492.215</v>
      </c>
      <c r="Q55" s="28">
        <f t="shared" si="0"/>
        <v>158439.77499999999</v>
      </c>
    </row>
    <row r="56" spans="1:17" ht="15" customHeight="1" x14ac:dyDescent="0.2">
      <c r="A56" s="1">
        <v>76</v>
      </c>
      <c r="B56" s="7" t="s">
        <v>16</v>
      </c>
      <c r="C56" s="7" t="s">
        <v>22</v>
      </c>
      <c r="D56" s="5"/>
      <c r="E56" s="2" t="s">
        <v>13</v>
      </c>
      <c r="F56" s="2" t="s">
        <v>13</v>
      </c>
      <c r="G56" s="3">
        <v>30820.67</v>
      </c>
      <c r="H56" s="3">
        <v>44436.97</v>
      </c>
      <c r="I56" s="3">
        <v>32384.400000000001</v>
      </c>
      <c r="J56" s="3">
        <v>41046.69</v>
      </c>
      <c r="K56" s="3">
        <v>28936.5</v>
      </c>
      <c r="L56" s="3">
        <v>46408.36</v>
      </c>
      <c r="M56" s="3">
        <v>30275.72</v>
      </c>
      <c r="N56" s="8">
        <v>48899.93</v>
      </c>
      <c r="O56" s="3">
        <v>30604.322500000002</v>
      </c>
      <c r="P56" s="8">
        <v>45197.987500000003</v>
      </c>
      <c r="Q56" s="28">
        <f t="shared" si="0"/>
        <v>379011.55000000005</v>
      </c>
    </row>
    <row r="57" spans="1:17" ht="15" customHeight="1" x14ac:dyDescent="0.2">
      <c r="A57" s="1">
        <v>77</v>
      </c>
      <c r="B57" s="7" t="s">
        <v>16</v>
      </c>
      <c r="C57" s="7" t="s">
        <v>22</v>
      </c>
      <c r="D57" s="7"/>
      <c r="E57" s="2" t="s">
        <v>14</v>
      </c>
      <c r="F57" s="2" t="s">
        <v>14</v>
      </c>
      <c r="G57" s="3">
        <v>26889.62</v>
      </c>
      <c r="H57" s="3">
        <v>24700.880000000001</v>
      </c>
      <c r="I57" s="3">
        <v>22491.51</v>
      </c>
      <c r="J57" s="3">
        <v>27246.2</v>
      </c>
      <c r="K57" s="3">
        <v>19959.72</v>
      </c>
      <c r="L57" s="3">
        <v>25257.09</v>
      </c>
      <c r="M57" s="3">
        <v>19756.169999999998</v>
      </c>
      <c r="N57" s="8">
        <v>26273.94</v>
      </c>
      <c r="O57" s="3">
        <v>22274.255000000001</v>
      </c>
      <c r="P57" s="8">
        <v>25869.5275</v>
      </c>
      <c r="Q57" s="28">
        <f t="shared" si="0"/>
        <v>240718.91250000001</v>
      </c>
    </row>
    <row r="58" spans="1:17" ht="15" customHeight="1" x14ac:dyDescent="0.2">
      <c r="A58" s="1">
        <v>78</v>
      </c>
      <c r="B58" s="7" t="s">
        <v>16</v>
      </c>
      <c r="C58" s="7" t="s">
        <v>23</v>
      </c>
      <c r="D58" s="2" t="s">
        <v>7</v>
      </c>
      <c r="E58" s="2"/>
      <c r="F58" s="2" t="s">
        <v>7</v>
      </c>
      <c r="G58" s="3">
        <v>76016</v>
      </c>
      <c r="H58" s="3">
        <v>80862</v>
      </c>
      <c r="I58" s="3">
        <v>75955</v>
      </c>
      <c r="J58" s="3">
        <v>80758</v>
      </c>
      <c r="K58" s="3">
        <v>75892</v>
      </c>
      <c r="L58" s="3">
        <v>80662</v>
      </c>
      <c r="M58" s="3">
        <v>75823</v>
      </c>
      <c r="N58" s="8">
        <v>80565</v>
      </c>
      <c r="O58" s="3">
        <v>75921.5</v>
      </c>
      <c r="P58" s="8">
        <v>80711.75</v>
      </c>
      <c r="Q58" s="28">
        <f t="shared" si="0"/>
        <v>783166.25</v>
      </c>
    </row>
    <row r="59" spans="1:17" ht="15" customHeight="1" x14ac:dyDescent="0.2">
      <c r="A59" s="1">
        <v>80</v>
      </c>
      <c r="B59" s="7" t="s">
        <v>16</v>
      </c>
      <c r="C59" s="7" t="s">
        <v>23</v>
      </c>
      <c r="D59" s="5"/>
      <c r="E59" s="2" t="s">
        <v>8</v>
      </c>
      <c r="F59" s="2" t="s">
        <v>8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8">
        <v>0</v>
      </c>
      <c r="O59" s="3">
        <v>0</v>
      </c>
      <c r="P59" s="8">
        <v>0</v>
      </c>
      <c r="Q59" s="28">
        <f t="shared" si="0"/>
        <v>0</v>
      </c>
    </row>
    <row r="60" spans="1:17" ht="15" customHeight="1" x14ac:dyDescent="0.2">
      <c r="A60" s="1">
        <v>82</v>
      </c>
      <c r="B60" s="7" t="s">
        <v>16</v>
      </c>
      <c r="C60" s="7" t="s">
        <v>23</v>
      </c>
      <c r="D60" s="5"/>
      <c r="E60" s="7"/>
      <c r="F60" s="2" t="s">
        <v>9</v>
      </c>
      <c r="G60" s="3">
        <v>54391.8</v>
      </c>
      <c r="H60" s="3">
        <v>51089.72</v>
      </c>
      <c r="I60" s="3">
        <v>55167.68</v>
      </c>
      <c r="J60" s="3">
        <v>50022.27</v>
      </c>
      <c r="K60" s="3">
        <v>56459.98</v>
      </c>
      <c r="L60" s="3">
        <v>48442.25</v>
      </c>
      <c r="M60" s="3">
        <v>56833.14</v>
      </c>
      <c r="N60" s="8">
        <v>47716.3</v>
      </c>
      <c r="O60" s="3">
        <v>55713.150000000009</v>
      </c>
      <c r="P60" s="8">
        <v>49317.634999999995</v>
      </c>
      <c r="Q60" s="28">
        <f t="shared" si="0"/>
        <v>525153.92500000005</v>
      </c>
    </row>
    <row r="61" spans="1:17" ht="15" customHeight="1" x14ac:dyDescent="0.2">
      <c r="A61" s="1">
        <v>83</v>
      </c>
      <c r="B61" s="7" t="s">
        <v>16</v>
      </c>
      <c r="C61" s="7" t="s">
        <v>23</v>
      </c>
      <c r="D61" s="5"/>
      <c r="E61" s="5"/>
      <c r="F61" s="2" t="s">
        <v>10</v>
      </c>
      <c r="G61" s="3">
        <v>1014.76</v>
      </c>
      <c r="H61" s="3">
        <v>1473.71</v>
      </c>
      <c r="I61" s="3">
        <v>1359.93</v>
      </c>
      <c r="J61" s="3">
        <v>805.02</v>
      </c>
      <c r="K61" s="3">
        <v>1188.43</v>
      </c>
      <c r="L61" s="3">
        <v>1137.3399999999999</v>
      </c>
      <c r="M61" s="3">
        <v>768.51</v>
      </c>
      <c r="N61" s="8">
        <v>1376.87</v>
      </c>
      <c r="O61" s="3">
        <v>1082.9075</v>
      </c>
      <c r="P61" s="8">
        <v>1198.2349999999999</v>
      </c>
      <c r="Q61" s="28">
        <f t="shared" si="0"/>
        <v>11405.7125</v>
      </c>
    </row>
    <row r="62" spans="1:17" ht="15" customHeight="1" x14ac:dyDescent="0.2">
      <c r="A62" s="1">
        <v>85</v>
      </c>
      <c r="B62" s="7" t="s">
        <v>16</v>
      </c>
      <c r="C62" s="7" t="s">
        <v>23</v>
      </c>
      <c r="D62" s="5"/>
      <c r="E62" s="26" t="s">
        <v>11</v>
      </c>
      <c r="F62" s="2" t="s">
        <v>11</v>
      </c>
      <c r="G62" s="3">
        <v>3418.11</v>
      </c>
      <c r="H62" s="3">
        <v>9595</v>
      </c>
      <c r="I62" s="3">
        <v>2539.88</v>
      </c>
      <c r="J62" s="3">
        <v>11068.75</v>
      </c>
      <c r="K62" s="3">
        <v>1772.6</v>
      </c>
      <c r="L62" s="3">
        <v>11246.08</v>
      </c>
      <c r="M62" s="3">
        <v>1483.24</v>
      </c>
      <c r="N62" s="8">
        <v>10995.15</v>
      </c>
      <c r="O62" s="3">
        <v>2303.4575</v>
      </c>
      <c r="P62" s="8">
        <v>10726.245000000001</v>
      </c>
      <c r="Q62" s="28">
        <f t="shared" si="0"/>
        <v>65148.512499999997</v>
      </c>
    </row>
    <row r="63" spans="1:17" ht="15" customHeight="1" x14ac:dyDescent="0.2">
      <c r="A63" s="1">
        <v>86</v>
      </c>
      <c r="B63" s="7" t="s">
        <v>16</v>
      </c>
      <c r="C63" s="7" t="s">
        <v>23</v>
      </c>
      <c r="D63" s="7"/>
      <c r="E63" s="2" t="s">
        <v>12</v>
      </c>
      <c r="F63" s="2" t="s">
        <v>12</v>
      </c>
      <c r="G63" s="3">
        <v>2819.91</v>
      </c>
      <c r="H63" s="3">
        <v>2731.84</v>
      </c>
      <c r="I63" s="3">
        <v>2519.63</v>
      </c>
      <c r="J63" s="3">
        <v>2063.7800000000002</v>
      </c>
      <c r="K63" s="3">
        <v>3002.96</v>
      </c>
      <c r="L63" s="3">
        <v>2250.4</v>
      </c>
      <c r="M63" s="3">
        <v>3838.93</v>
      </c>
      <c r="N63" s="8">
        <v>2746.81</v>
      </c>
      <c r="O63" s="3">
        <v>3045.3575000000001</v>
      </c>
      <c r="P63" s="8">
        <v>2448.2075</v>
      </c>
      <c r="Q63" s="28">
        <f t="shared" si="0"/>
        <v>27467.825000000001</v>
      </c>
    </row>
    <row r="64" spans="1:17" ht="15" customHeight="1" x14ac:dyDescent="0.2">
      <c r="A64" s="1">
        <v>87</v>
      </c>
      <c r="B64" s="7" t="s">
        <v>16</v>
      </c>
      <c r="C64" s="7" t="s">
        <v>23</v>
      </c>
      <c r="D64" s="5"/>
      <c r="E64" s="2" t="s">
        <v>13</v>
      </c>
      <c r="F64" s="2" t="s">
        <v>13</v>
      </c>
      <c r="G64" s="3">
        <v>8654.2000000000007</v>
      </c>
      <c r="H64" s="3">
        <v>11232.44</v>
      </c>
      <c r="I64" s="3">
        <v>8503.1299999999992</v>
      </c>
      <c r="J64" s="3">
        <v>11263.89</v>
      </c>
      <c r="K64" s="3">
        <v>7747.61</v>
      </c>
      <c r="L64" s="3">
        <v>12712.1</v>
      </c>
      <c r="M64" s="3">
        <v>7447.31</v>
      </c>
      <c r="N64" s="8">
        <v>12307.95</v>
      </c>
      <c r="O64" s="3">
        <v>8088.0625000000009</v>
      </c>
      <c r="P64" s="8">
        <v>11879.095000000001</v>
      </c>
      <c r="Q64" s="28">
        <f t="shared" si="0"/>
        <v>99835.787499999991</v>
      </c>
    </row>
    <row r="65" spans="1:17" ht="15" customHeight="1" x14ac:dyDescent="0.2">
      <c r="A65" s="1">
        <v>88</v>
      </c>
      <c r="B65" s="7" t="s">
        <v>16</v>
      </c>
      <c r="C65" s="7" t="s">
        <v>23</v>
      </c>
      <c r="D65" s="5"/>
      <c r="E65" s="2" t="s">
        <v>14</v>
      </c>
      <c r="F65" s="2" t="s">
        <v>14</v>
      </c>
      <c r="G65" s="3">
        <v>5717.22</v>
      </c>
      <c r="H65" s="3">
        <v>4739.29</v>
      </c>
      <c r="I65" s="3">
        <v>5864.76</v>
      </c>
      <c r="J65" s="3">
        <v>5534.28</v>
      </c>
      <c r="K65" s="3">
        <v>5720.42</v>
      </c>
      <c r="L65" s="3">
        <v>4873.84</v>
      </c>
      <c r="M65" s="3">
        <v>5451.87</v>
      </c>
      <c r="N65" s="8">
        <v>5421.92</v>
      </c>
      <c r="O65" s="3">
        <v>5688.5675000000001</v>
      </c>
      <c r="P65" s="8">
        <v>5142.3325000000004</v>
      </c>
      <c r="Q65" s="28">
        <f t="shared" si="0"/>
        <v>54154.5</v>
      </c>
    </row>
    <row r="66" spans="1:17" ht="15" customHeight="1" x14ac:dyDescent="0.2">
      <c r="A66" s="1">
        <v>89</v>
      </c>
      <c r="B66" s="7" t="s">
        <v>16</v>
      </c>
      <c r="C66" s="7" t="s">
        <v>24</v>
      </c>
      <c r="D66" s="26" t="s">
        <v>7</v>
      </c>
      <c r="E66" s="2"/>
      <c r="F66" s="2" t="s">
        <v>7</v>
      </c>
      <c r="G66" s="3">
        <v>118792</v>
      </c>
      <c r="H66" s="3">
        <v>126326</v>
      </c>
      <c r="I66" s="3">
        <v>118770</v>
      </c>
      <c r="J66" s="3">
        <v>126255</v>
      </c>
      <c r="K66" s="3">
        <v>118749</v>
      </c>
      <c r="L66" s="3">
        <v>126173</v>
      </c>
      <c r="M66" s="3">
        <v>118719</v>
      </c>
      <c r="N66" s="8">
        <v>126100</v>
      </c>
      <c r="O66" s="3">
        <v>118757.5</v>
      </c>
      <c r="P66" s="8">
        <v>126213.5</v>
      </c>
      <c r="Q66" s="28">
        <f t="shared" si="0"/>
        <v>1224855</v>
      </c>
    </row>
    <row r="67" spans="1:17" ht="15" customHeight="1" x14ac:dyDescent="0.2">
      <c r="A67" s="1">
        <v>91</v>
      </c>
      <c r="B67" s="7" t="s">
        <v>16</v>
      </c>
      <c r="C67" s="7" t="s">
        <v>24</v>
      </c>
      <c r="D67" s="5"/>
      <c r="E67" s="2" t="s">
        <v>8</v>
      </c>
      <c r="F67" s="2" t="s">
        <v>8</v>
      </c>
      <c r="G67" s="3">
        <v>156.12</v>
      </c>
      <c r="H67" s="3">
        <v>0</v>
      </c>
      <c r="I67" s="3">
        <v>0</v>
      </c>
      <c r="J67" s="3">
        <v>154.51</v>
      </c>
      <c r="K67" s="3">
        <v>0</v>
      </c>
      <c r="L67" s="3">
        <v>77.930000000000007</v>
      </c>
      <c r="M67" s="3">
        <v>45.28</v>
      </c>
      <c r="N67" s="8">
        <v>0</v>
      </c>
      <c r="O67" s="3">
        <v>50.35</v>
      </c>
      <c r="P67" s="8">
        <v>58.11</v>
      </c>
      <c r="Q67" s="28">
        <f t="shared" ref="Q67:Q130" si="1">SUM(G67:P67)</f>
        <v>542.30000000000007</v>
      </c>
    </row>
    <row r="68" spans="1:17" ht="15" customHeight="1" x14ac:dyDescent="0.2">
      <c r="A68" s="1">
        <v>93</v>
      </c>
      <c r="B68" s="7" t="s">
        <v>16</v>
      </c>
      <c r="C68" s="7" t="s">
        <v>24</v>
      </c>
      <c r="D68" s="7"/>
      <c r="E68" s="7"/>
      <c r="F68" s="2" t="s">
        <v>9</v>
      </c>
      <c r="G68" s="3">
        <v>86110.65</v>
      </c>
      <c r="H68" s="3">
        <v>75154.03</v>
      </c>
      <c r="I68" s="3">
        <v>87471.44</v>
      </c>
      <c r="J68" s="3">
        <v>74109.53</v>
      </c>
      <c r="K68" s="3">
        <v>88374.36</v>
      </c>
      <c r="L68" s="3">
        <v>78910.850000000006</v>
      </c>
      <c r="M68" s="3">
        <v>89915.73</v>
      </c>
      <c r="N68" s="8">
        <v>79688.83</v>
      </c>
      <c r="O68" s="3">
        <v>87968.044999999998</v>
      </c>
      <c r="P68" s="8">
        <v>76965.81</v>
      </c>
      <c r="Q68" s="28">
        <f t="shared" si="1"/>
        <v>824669.27499999991</v>
      </c>
    </row>
    <row r="69" spans="1:17" ht="15" customHeight="1" x14ac:dyDescent="0.2">
      <c r="A69" s="1">
        <v>94</v>
      </c>
      <c r="B69" s="7" t="s">
        <v>16</v>
      </c>
      <c r="C69" s="7" t="s">
        <v>24</v>
      </c>
      <c r="D69" s="7"/>
      <c r="E69" s="7"/>
      <c r="F69" s="2" t="s">
        <v>10</v>
      </c>
      <c r="G69" s="3">
        <v>3098.42</v>
      </c>
      <c r="H69" s="3">
        <v>1526.59</v>
      </c>
      <c r="I69" s="3">
        <v>1783.84</v>
      </c>
      <c r="J69" s="3">
        <v>1576.89</v>
      </c>
      <c r="K69" s="3">
        <v>962.53</v>
      </c>
      <c r="L69" s="3">
        <v>875.71</v>
      </c>
      <c r="M69" s="3">
        <v>560.24</v>
      </c>
      <c r="N69" s="8">
        <v>647.61</v>
      </c>
      <c r="O69" s="3">
        <v>1601.2574999999999</v>
      </c>
      <c r="P69" s="8">
        <v>1156.7</v>
      </c>
      <c r="Q69" s="28">
        <f t="shared" si="1"/>
        <v>13789.7875</v>
      </c>
    </row>
    <row r="70" spans="1:17" ht="15" customHeight="1" x14ac:dyDescent="0.2">
      <c r="A70" s="1">
        <v>96</v>
      </c>
      <c r="B70" s="7" t="s">
        <v>16</v>
      </c>
      <c r="C70" s="7" t="s">
        <v>24</v>
      </c>
      <c r="D70" s="5"/>
      <c r="E70" s="2" t="s">
        <v>11</v>
      </c>
      <c r="F70" s="2" t="s">
        <v>11</v>
      </c>
      <c r="G70" s="3">
        <v>2819.19</v>
      </c>
      <c r="H70" s="3">
        <v>19247.32</v>
      </c>
      <c r="I70" s="3">
        <v>1830.08</v>
      </c>
      <c r="J70" s="3">
        <v>20532.88</v>
      </c>
      <c r="K70" s="3">
        <v>2154.2399999999998</v>
      </c>
      <c r="L70" s="3">
        <v>15645.22</v>
      </c>
      <c r="M70" s="3">
        <v>1683.81</v>
      </c>
      <c r="N70" s="8">
        <v>14665.97</v>
      </c>
      <c r="O70" s="3">
        <v>2121.83</v>
      </c>
      <c r="P70" s="8">
        <v>17522.8475</v>
      </c>
      <c r="Q70" s="28">
        <f t="shared" si="1"/>
        <v>98223.387499999997</v>
      </c>
    </row>
    <row r="71" spans="1:17" ht="15" customHeight="1" x14ac:dyDescent="0.2">
      <c r="A71" s="1">
        <v>97</v>
      </c>
      <c r="B71" s="7" t="s">
        <v>16</v>
      </c>
      <c r="C71" s="7" t="s">
        <v>24</v>
      </c>
      <c r="D71" s="5"/>
      <c r="E71" s="2" t="s">
        <v>12</v>
      </c>
      <c r="F71" s="2" t="s">
        <v>12</v>
      </c>
      <c r="G71" s="3">
        <v>3328.97</v>
      </c>
      <c r="H71" s="3">
        <v>2329.1</v>
      </c>
      <c r="I71" s="3">
        <v>5112.57</v>
      </c>
      <c r="J71" s="3">
        <v>3127.89</v>
      </c>
      <c r="K71" s="3">
        <v>4822.84</v>
      </c>
      <c r="L71" s="3">
        <v>2273.11</v>
      </c>
      <c r="M71" s="3">
        <v>4061.95</v>
      </c>
      <c r="N71" s="8">
        <v>2385.34</v>
      </c>
      <c r="O71" s="3">
        <v>4331.5824999999995</v>
      </c>
      <c r="P71" s="8">
        <v>2528.86</v>
      </c>
      <c r="Q71" s="28">
        <f t="shared" si="1"/>
        <v>34302.212500000001</v>
      </c>
    </row>
    <row r="72" spans="1:17" ht="15" customHeight="1" x14ac:dyDescent="0.2">
      <c r="A72" s="1">
        <v>98</v>
      </c>
      <c r="B72" s="7" t="s">
        <v>16</v>
      </c>
      <c r="C72" s="7" t="s">
        <v>24</v>
      </c>
      <c r="D72" s="5"/>
      <c r="E72" s="26" t="s">
        <v>13</v>
      </c>
      <c r="F72" s="2" t="s">
        <v>13</v>
      </c>
      <c r="G72" s="3">
        <v>14858.2</v>
      </c>
      <c r="H72" s="3">
        <v>19386.91</v>
      </c>
      <c r="I72" s="3">
        <v>13744.11</v>
      </c>
      <c r="J72" s="3">
        <v>19173.3</v>
      </c>
      <c r="K72" s="3">
        <v>15290.06</v>
      </c>
      <c r="L72" s="3">
        <v>20243.150000000001</v>
      </c>
      <c r="M72" s="3">
        <v>15700</v>
      </c>
      <c r="N72" s="8">
        <v>21763.74</v>
      </c>
      <c r="O72" s="3">
        <v>14898.092500000001</v>
      </c>
      <c r="P72" s="8">
        <v>20141.775000000001</v>
      </c>
      <c r="Q72" s="28">
        <f t="shared" si="1"/>
        <v>175199.33749999999</v>
      </c>
    </row>
    <row r="73" spans="1:17" ht="15" customHeight="1" x14ac:dyDescent="0.2">
      <c r="A73" s="1">
        <v>99</v>
      </c>
      <c r="B73" s="7" t="s">
        <v>16</v>
      </c>
      <c r="C73" s="7" t="s">
        <v>24</v>
      </c>
      <c r="D73" s="5"/>
      <c r="E73" s="26" t="s">
        <v>14</v>
      </c>
      <c r="F73" s="2" t="s">
        <v>14</v>
      </c>
      <c r="G73" s="3">
        <v>8420.4500000000007</v>
      </c>
      <c r="H73" s="3">
        <v>8682.0499999999993</v>
      </c>
      <c r="I73" s="3">
        <v>8827.9699999999993</v>
      </c>
      <c r="J73" s="3">
        <v>7579.99</v>
      </c>
      <c r="K73" s="3">
        <v>7144.97</v>
      </c>
      <c r="L73" s="3">
        <v>8147.02</v>
      </c>
      <c r="M73" s="3">
        <v>6752</v>
      </c>
      <c r="N73" s="8">
        <v>6948.5</v>
      </c>
      <c r="O73" s="3">
        <v>7786.3474999999999</v>
      </c>
      <c r="P73" s="8">
        <v>7839.3899999999994</v>
      </c>
      <c r="Q73" s="28">
        <f t="shared" si="1"/>
        <v>78128.6875</v>
      </c>
    </row>
    <row r="74" spans="1:17" ht="15" customHeight="1" x14ac:dyDescent="0.2">
      <c r="A74" s="1">
        <v>100</v>
      </c>
      <c r="B74" s="7" t="s">
        <v>16</v>
      </c>
      <c r="C74" s="7" t="s">
        <v>25</v>
      </c>
      <c r="D74" s="2" t="s">
        <v>7</v>
      </c>
      <c r="E74" s="2"/>
      <c r="F74" s="2" t="s">
        <v>7</v>
      </c>
      <c r="G74" s="3">
        <v>317278</v>
      </c>
      <c r="H74" s="3">
        <v>337294</v>
      </c>
      <c r="I74" s="3">
        <v>317793</v>
      </c>
      <c r="J74" s="3">
        <v>337706</v>
      </c>
      <c r="K74" s="3">
        <v>318281</v>
      </c>
      <c r="L74" s="3">
        <v>338094</v>
      </c>
      <c r="M74" s="3">
        <v>318728</v>
      </c>
      <c r="N74" s="8">
        <v>338427</v>
      </c>
      <c r="O74" s="3">
        <v>318020</v>
      </c>
      <c r="P74" s="8">
        <v>337880.25</v>
      </c>
      <c r="Q74" s="28">
        <f t="shared" si="1"/>
        <v>3279501.25</v>
      </c>
    </row>
    <row r="75" spans="1:17" ht="15" customHeight="1" x14ac:dyDescent="0.2">
      <c r="A75" s="1">
        <v>102</v>
      </c>
      <c r="B75" s="7" t="s">
        <v>16</v>
      </c>
      <c r="C75" s="7" t="s">
        <v>25</v>
      </c>
      <c r="D75" s="5"/>
      <c r="E75" s="2" t="s">
        <v>8</v>
      </c>
      <c r="F75" s="2" t="s">
        <v>8</v>
      </c>
      <c r="G75" s="3">
        <v>462.85</v>
      </c>
      <c r="H75" s="3">
        <v>0</v>
      </c>
      <c r="I75" s="3">
        <v>337.22</v>
      </c>
      <c r="J75" s="3">
        <v>773.72</v>
      </c>
      <c r="K75" s="3">
        <v>0</v>
      </c>
      <c r="L75" s="3">
        <v>0</v>
      </c>
      <c r="M75" s="3">
        <v>1720.35</v>
      </c>
      <c r="N75" s="8">
        <v>1698.71</v>
      </c>
      <c r="O75" s="3">
        <v>630.10500000000002</v>
      </c>
      <c r="P75" s="8">
        <v>618.10750000000007</v>
      </c>
      <c r="Q75" s="28">
        <f t="shared" si="1"/>
        <v>6241.0625</v>
      </c>
    </row>
    <row r="76" spans="1:17" ht="15" customHeight="1" x14ac:dyDescent="0.2">
      <c r="A76" s="1">
        <v>104</v>
      </c>
      <c r="B76" s="7" t="s">
        <v>16</v>
      </c>
      <c r="C76" s="7" t="s">
        <v>25</v>
      </c>
      <c r="D76" s="5"/>
      <c r="E76" s="7"/>
      <c r="F76" s="2" t="s">
        <v>9</v>
      </c>
      <c r="G76" s="3">
        <v>231325.32</v>
      </c>
      <c r="H76" s="3">
        <v>186672.63</v>
      </c>
      <c r="I76" s="3">
        <v>235906.87</v>
      </c>
      <c r="J76" s="3">
        <v>178265.36</v>
      </c>
      <c r="K76" s="3">
        <v>235874.48</v>
      </c>
      <c r="L76" s="3">
        <v>184309.36</v>
      </c>
      <c r="M76" s="3">
        <v>234112.77</v>
      </c>
      <c r="N76" s="8">
        <v>184982.93</v>
      </c>
      <c r="O76" s="3">
        <v>234304.86000000002</v>
      </c>
      <c r="P76" s="8">
        <v>183557.57</v>
      </c>
      <c r="Q76" s="28">
        <f t="shared" si="1"/>
        <v>2089312.1500000001</v>
      </c>
    </row>
    <row r="77" spans="1:17" ht="15" customHeight="1" x14ac:dyDescent="0.2">
      <c r="A77" s="1">
        <v>105</v>
      </c>
      <c r="B77" s="7" t="s">
        <v>16</v>
      </c>
      <c r="C77" s="7" t="s">
        <v>25</v>
      </c>
      <c r="D77" s="5"/>
      <c r="E77" s="7"/>
      <c r="F77" s="2" t="s">
        <v>10</v>
      </c>
      <c r="G77" s="3">
        <v>6043.39</v>
      </c>
      <c r="H77" s="3">
        <v>3865.58</v>
      </c>
      <c r="I77" s="3">
        <v>6752.6</v>
      </c>
      <c r="J77" s="3">
        <v>3015.68</v>
      </c>
      <c r="K77" s="3">
        <v>3457.17</v>
      </c>
      <c r="L77" s="3">
        <v>941.35</v>
      </c>
      <c r="M77" s="3">
        <v>2298.5700000000002</v>
      </c>
      <c r="N77" s="8">
        <v>477.2</v>
      </c>
      <c r="O77" s="3">
        <v>4637.9325000000008</v>
      </c>
      <c r="P77" s="8">
        <v>2074.9525000000003</v>
      </c>
      <c r="Q77" s="28">
        <f t="shared" si="1"/>
        <v>33564.424999999996</v>
      </c>
    </row>
    <row r="78" spans="1:17" ht="15" customHeight="1" x14ac:dyDescent="0.2">
      <c r="A78" s="1">
        <v>107</v>
      </c>
      <c r="B78" s="7" t="s">
        <v>16</v>
      </c>
      <c r="C78" s="7" t="s">
        <v>25</v>
      </c>
      <c r="D78" s="5"/>
      <c r="E78" s="2" t="s">
        <v>11</v>
      </c>
      <c r="F78" s="2" t="s">
        <v>11</v>
      </c>
      <c r="G78" s="3">
        <v>4511.8999999999996</v>
      </c>
      <c r="H78" s="3">
        <v>63069.15</v>
      </c>
      <c r="I78" s="3">
        <v>5720.18</v>
      </c>
      <c r="J78" s="3">
        <v>70369.58</v>
      </c>
      <c r="K78" s="3">
        <v>5972.47</v>
      </c>
      <c r="L78" s="3">
        <v>72252.75</v>
      </c>
      <c r="M78" s="3">
        <v>4709.1099999999997</v>
      </c>
      <c r="N78" s="8">
        <v>70667.509999999995</v>
      </c>
      <c r="O78" s="3">
        <v>5228.415</v>
      </c>
      <c r="P78" s="8">
        <v>69089.747499999998</v>
      </c>
      <c r="Q78" s="28">
        <f t="shared" si="1"/>
        <v>371590.81249999994</v>
      </c>
    </row>
    <row r="79" spans="1:17" ht="15" customHeight="1" x14ac:dyDescent="0.2">
      <c r="A79" s="1">
        <v>108</v>
      </c>
      <c r="B79" s="7" t="s">
        <v>16</v>
      </c>
      <c r="C79" s="7" t="s">
        <v>25</v>
      </c>
      <c r="D79" s="7"/>
      <c r="E79" s="2" t="s">
        <v>12</v>
      </c>
      <c r="F79" s="2" t="s">
        <v>12</v>
      </c>
      <c r="G79" s="3">
        <v>8462.98</v>
      </c>
      <c r="H79" s="3">
        <v>8162.67</v>
      </c>
      <c r="I79" s="3">
        <v>9394.83</v>
      </c>
      <c r="J79" s="3">
        <v>10161.86</v>
      </c>
      <c r="K79" s="3">
        <v>11123.39</v>
      </c>
      <c r="L79" s="3">
        <v>6081.47</v>
      </c>
      <c r="M79" s="3">
        <v>8463.36</v>
      </c>
      <c r="N79" s="8">
        <v>5682.03</v>
      </c>
      <c r="O79" s="3">
        <v>9361.14</v>
      </c>
      <c r="P79" s="8">
        <v>7522.0074999999997</v>
      </c>
      <c r="Q79" s="28">
        <f t="shared" si="1"/>
        <v>84415.737500000017</v>
      </c>
    </row>
    <row r="80" spans="1:17" ht="15" customHeight="1" x14ac:dyDescent="0.2">
      <c r="A80" s="1">
        <v>109</v>
      </c>
      <c r="B80" s="7" t="s">
        <v>16</v>
      </c>
      <c r="C80" s="7" t="s">
        <v>25</v>
      </c>
      <c r="D80" s="7"/>
      <c r="E80" s="2" t="s">
        <v>13</v>
      </c>
      <c r="F80" s="2" t="s">
        <v>13</v>
      </c>
      <c r="G80" s="3">
        <v>42583.06</v>
      </c>
      <c r="H80" s="3">
        <v>51809.57</v>
      </c>
      <c r="I80" s="3">
        <v>35614.870000000003</v>
      </c>
      <c r="J80" s="3">
        <v>53132.81</v>
      </c>
      <c r="K80" s="3">
        <v>37974.42</v>
      </c>
      <c r="L80" s="3">
        <v>51488.09</v>
      </c>
      <c r="M80" s="3">
        <v>41875.25</v>
      </c>
      <c r="N80" s="8">
        <v>50511.31</v>
      </c>
      <c r="O80" s="3">
        <v>39511.899999999994</v>
      </c>
      <c r="P80" s="8">
        <v>51735.445</v>
      </c>
      <c r="Q80" s="28">
        <f t="shared" si="1"/>
        <v>456236.72499999992</v>
      </c>
    </row>
    <row r="81" spans="1:17" ht="15" customHeight="1" x14ac:dyDescent="0.2">
      <c r="A81" s="1">
        <v>110</v>
      </c>
      <c r="B81" s="7" t="s">
        <v>16</v>
      </c>
      <c r="C81" s="7" t="s">
        <v>25</v>
      </c>
      <c r="D81" s="5"/>
      <c r="E81" s="2" t="s">
        <v>14</v>
      </c>
      <c r="F81" s="2" t="s">
        <v>14</v>
      </c>
      <c r="G81" s="3">
        <v>23888.5</v>
      </c>
      <c r="H81" s="3">
        <v>23714.39</v>
      </c>
      <c r="I81" s="3">
        <v>24066.42</v>
      </c>
      <c r="J81" s="3">
        <v>21986.98</v>
      </c>
      <c r="K81" s="3">
        <v>23879.08</v>
      </c>
      <c r="L81" s="3">
        <v>23020.98</v>
      </c>
      <c r="M81" s="3">
        <v>25548.59</v>
      </c>
      <c r="N81" s="8">
        <v>24407.31</v>
      </c>
      <c r="O81" s="3">
        <v>24345.647499999999</v>
      </c>
      <c r="P81" s="8">
        <v>23282.414999999997</v>
      </c>
      <c r="Q81" s="28">
        <f t="shared" si="1"/>
        <v>238140.3125</v>
      </c>
    </row>
    <row r="82" spans="1:17" ht="15" customHeight="1" x14ac:dyDescent="0.2">
      <c r="A82" s="1">
        <v>111</v>
      </c>
      <c r="B82" s="7" t="s">
        <v>16</v>
      </c>
      <c r="C82" s="7" t="s">
        <v>26</v>
      </c>
      <c r="D82" s="26" t="s">
        <v>7</v>
      </c>
      <c r="E82" s="2"/>
      <c r="F82" s="2" t="s">
        <v>7</v>
      </c>
      <c r="G82" s="3">
        <v>807473</v>
      </c>
      <c r="H82" s="3">
        <v>854774</v>
      </c>
      <c r="I82" s="3">
        <v>812542</v>
      </c>
      <c r="J82" s="3">
        <v>860056</v>
      </c>
      <c r="K82" s="3">
        <v>817566</v>
      </c>
      <c r="L82" s="3">
        <v>865303</v>
      </c>
      <c r="M82" s="3">
        <v>822476</v>
      </c>
      <c r="N82" s="8">
        <v>870435</v>
      </c>
      <c r="O82" s="3">
        <v>815014.25</v>
      </c>
      <c r="P82" s="8">
        <v>862642</v>
      </c>
      <c r="Q82" s="28">
        <f t="shared" si="1"/>
        <v>8388281.25</v>
      </c>
    </row>
    <row r="83" spans="1:17" ht="15" customHeight="1" x14ac:dyDescent="0.2">
      <c r="A83" s="1">
        <v>113</v>
      </c>
      <c r="B83" s="7" t="s">
        <v>16</v>
      </c>
      <c r="C83" s="7" t="s">
        <v>26</v>
      </c>
      <c r="D83" s="5"/>
      <c r="E83" s="26" t="s">
        <v>8</v>
      </c>
      <c r="F83" s="2" t="s">
        <v>8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8">
        <v>0</v>
      </c>
      <c r="O83" s="3">
        <v>0</v>
      </c>
      <c r="P83" s="8">
        <v>0</v>
      </c>
      <c r="Q83" s="28">
        <f t="shared" si="1"/>
        <v>0</v>
      </c>
    </row>
    <row r="84" spans="1:17" ht="15" customHeight="1" x14ac:dyDescent="0.2">
      <c r="A84" s="1">
        <v>115</v>
      </c>
      <c r="B84" s="7" t="s">
        <v>16</v>
      </c>
      <c r="C84" s="7" t="s">
        <v>26</v>
      </c>
      <c r="D84" s="5"/>
      <c r="E84" s="5"/>
      <c r="F84" s="2" t="s">
        <v>9</v>
      </c>
      <c r="G84" s="3">
        <v>614816.56000000006</v>
      </c>
      <c r="H84" s="3">
        <v>531168.06999999995</v>
      </c>
      <c r="I84" s="3">
        <v>603156.05000000005</v>
      </c>
      <c r="J84" s="3">
        <v>548450.12</v>
      </c>
      <c r="K84" s="3">
        <v>636995.96</v>
      </c>
      <c r="L84" s="3">
        <v>550713.53</v>
      </c>
      <c r="M84" s="3">
        <v>662480.73</v>
      </c>
      <c r="N84" s="8">
        <v>567497.56000000006</v>
      </c>
      <c r="O84" s="3">
        <v>629362.32499999995</v>
      </c>
      <c r="P84" s="8">
        <v>549457.32000000007</v>
      </c>
      <c r="Q84" s="28">
        <f t="shared" si="1"/>
        <v>5894098.2250000006</v>
      </c>
    </row>
    <row r="85" spans="1:17" ht="15" customHeight="1" x14ac:dyDescent="0.2">
      <c r="A85" s="1">
        <v>116</v>
      </c>
      <c r="B85" s="7" t="s">
        <v>16</v>
      </c>
      <c r="C85" s="7" t="s">
        <v>26</v>
      </c>
      <c r="D85" s="7"/>
      <c r="E85" s="7"/>
      <c r="F85" s="2" t="s">
        <v>10</v>
      </c>
      <c r="G85" s="3">
        <v>2134.92</v>
      </c>
      <c r="H85" s="3">
        <v>7723.44</v>
      </c>
      <c r="I85" s="3">
        <v>3308.15</v>
      </c>
      <c r="J85" s="3">
        <v>0</v>
      </c>
      <c r="K85" s="3">
        <v>7204.96</v>
      </c>
      <c r="L85" s="3">
        <v>1622.09</v>
      </c>
      <c r="M85" s="3">
        <v>1077.71</v>
      </c>
      <c r="N85" s="8">
        <v>960.26</v>
      </c>
      <c r="O85" s="3">
        <v>3431.4349999999995</v>
      </c>
      <c r="P85" s="8">
        <v>2576.4474999999998</v>
      </c>
      <c r="Q85" s="28">
        <f t="shared" si="1"/>
        <v>30039.412499999995</v>
      </c>
    </row>
    <row r="86" spans="1:17" ht="15" customHeight="1" x14ac:dyDescent="0.2">
      <c r="A86" s="1">
        <v>118</v>
      </c>
      <c r="B86" s="7" t="s">
        <v>16</v>
      </c>
      <c r="C86" s="7" t="s">
        <v>26</v>
      </c>
      <c r="D86" s="5"/>
      <c r="E86" s="2" t="s">
        <v>11</v>
      </c>
      <c r="F86" s="2" t="s">
        <v>11</v>
      </c>
      <c r="G86" s="3">
        <v>8730.6299999999992</v>
      </c>
      <c r="H86" s="3">
        <v>127804.44</v>
      </c>
      <c r="I86" s="3">
        <v>13322.27</v>
      </c>
      <c r="J86" s="3">
        <v>125239.22</v>
      </c>
      <c r="K86" s="3">
        <v>5212.78</v>
      </c>
      <c r="L86" s="3">
        <v>116296.45</v>
      </c>
      <c r="M86" s="3">
        <v>6665.74</v>
      </c>
      <c r="N86" s="8">
        <v>116864.33</v>
      </c>
      <c r="O86" s="3">
        <v>8482.8549999999996</v>
      </c>
      <c r="P86" s="8">
        <v>121551.11</v>
      </c>
      <c r="Q86" s="28">
        <f t="shared" si="1"/>
        <v>650169.82500000007</v>
      </c>
    </row>
    <row r="87" spans="1:17" ht="15" customHeight="1" x14ac:dyDescent="0.2">
      <c r="A87" s="1">
        <v>119</v>
      </c>
      <c r="B87" s="7" t="s">
        <v>16</v>
      </c>
      <c r="C87" s="7" t="s">
        <v>26</v>
      </c>
      <c r="D87" s="5"/>
      <c r="E87" s="2" t="s">
        <v>12</v>
      </c>
      <c r="F87" s="2" t="s">
        <v>12</v>
      </c>
      <c r="G87" s="3">
        <v>54590.16</v>
      </c>
      <c r="H87" s="3">
        <v>25135.08</v>
      </c>
      <c r="I87" s="3">
        <v>57761.72</v>
      </c>
      <c r="J87" s="3">
        <v>23978.65</v>
      </c>
      <c r="K87" s="3">
        <v>53215.360000000001</v>
      </c>
      <c r="L87" s="3">
        <v>21829.55</v>
      </c>
      <c r="M87" s="3">
        <v>35009.07</v>
      </c>
      <c r="N87" s="8">
        <v>21387.9</v>
      </c>
      <c r="O87" s="3">
        <v>50144.077499999999</v>
      </c>
      <c r="P87" s="8">
        <v>23082.794999999998</v>
      </c>
      <c r="Q87" s="28">
        <f t="shared" si="1"/>
        <v>366134.36250000005</v>
      </c>
    </row>
    <row r="88" spans="1:17" ht="15" customHeight="1" x14ac:dyDescent="0.2">
      <c r="A88" s="1">
        <v>120</v>
      </c>
      <c r="B88" s="7" t="s">
        <v>16</v>
      </c>
      <c r="C88" s="7" t="s">
        <v>26</v>
      </c>
      <c r="D88" s="5"/>
      <c r="E88" s="2" t="s">
        <v>13</v>
      </c>
      <c r="F88" s="2" t="s">
        <v>13</v>
      </c>
      <c r="G88" s="3">
        <v>74720.33</v>
      </c>
      <c r="H88" s="3">
        <v>97477.73</v>
      </c>
      <c r="I88" s="3">
        <v>86162.83</v>
      </c>
      <c r="J88" s="3">
        <v>112597.38</v>
      </c>
      <c r="K88" s="3">
        <v>70403.509999999995</v>
      </c>
      <c r="L88" s="3">
        <v>110176.18</v>
      </c>
      <c r="M88" s="3">
        <v>74472.61</v>
      </c>
      <c r="N88" s="8">
        <v>98148.58</v>
      </c>
      <c r="O88" s="3">
        <v>76439.819999999992</v>
      </c>
      <c r="P88" s="8">
        <v>104599.9675</v>
      </c>
      <c r="Q88" s="28">
        <f t="shared" si="1"/>
        <v>905198.93749999988</v>
      </c>
    </row>
    <row r="89" spans="1:17" ht="15" customHeight="1" x14ac:dyDescent="0.2">
      <c r="A89" s="1">
        <v>121</v>
      </c>
      <c r="B89" s="7" t="s">
        <v>16</v>
      </c>
      <c r="C89" s="7" t="s">
        <v>26</v>
      </c>
      <c r="D89" s="5"/>
      <c r="E89" s="2" t="s">
        <v>14</v>
      </c>
      <c r="F89" s="2" t="s">
        <v>14</v>
      </c>
      <c r="G89" s="3">
        <v>52480.4</v>
      </c>
      <c r="H89" s="3">
        <v>65465.24</v>
      </c>
      <c r="I89" s="3">
        <v>48830.98</v>
      </c>
      <c r="J89" s="3">
        <v>49790.62</v>
      </c>
      <c r="K89" s="3">
        <v>44533.43</v>
      </c>
      <c r="L89" s="3">
        <v>64665.19</v>
      </c>
      <c r="M89" s="3">
        <v>42770.14</v>
      </c>
      <c r="N89" s="8">
        <v>65576.36</v>
      </c>
      <c r="O89" s="3">
        <v>47153.737500000003</v>
      </c>
      <c r="P89" s="8">
        <v>61374.352499999994</v>
      </c>
      <c r="Q89" s="28">
        <f t="shared" si="1"/>
        <v>542640.44999999995</v>
      </c>
    </row>
    <row r="90" spans="1:17" ht="15" customHeight="1" x14ac:dyDescent="0.2">
      <c r="A90" s="1">
        <v>122</v>
      </c>
      <c r="B90" s="7" t="s">
        <v>16</v>
      </c>
      <c r="C90" s="7" t="s">
        <v>27</v>
      </c>
      <c r="D90" s="2" t="s">
        <v>7</v>
      </c>
      <c r="E90" s="2"/>
      <c r="F90" s="2" t="s">
        <v>7</v>
      </c>
      <c r="G90" s="3">
        <v>444211</v>
      </c>
      <c r="H90" s="3">
        <v>471432</v>
      </c>
      <c r="I90" s="3">
        <v>448063</v>
      </c>
      <c r="J90" s="3">
        <v>475466</v>
      </c>
      <c r="K90" s="3">
        <v>451883</v>
      </c>
      <c r="L90" s="3">
        <v>479470</v>
      </c>
      <c r="M90" s="3">
        <v>455620</v>
      </c>
      <c r="N90" s="8">
        <v>483384</v>
      </c>
      <c r="O90" s="3">
        <v>449944.25</v>
      </c>
      <c r="P90" s="8">
        <v>477438</v>
      </c>
      <c r="Q90" s="28">
        <f t="shared" si="1"/>
        <v>4636911.25</v>
      </c>
    </row>
    <row r="91" spans="1:17" ht="15" customHeight="1" x14ac:dyDescent="0.2">
      <c r="A91" s="1">
        <v>124</v>
      </c>
      <c r="B91" s="7" t="s">
        <v>16</v>
      </c>
      <c r="C91" s="7" t="s">
        <v>27</v>
      </c>
      <c r="D91" s="7"/>
      <c r="E91" s="2" t="s">
        <v>8</v>
      </c>
      <c r="F91" s="2" t="s">
        <v>8</v>
      </c>
      <c r="G91" s="3">
        <v>0</v>
      </c>
      <c r="H91" s="3">
        <v>0</v>
      </c>
      <c r="I91" s="3">
        <v>0</v>
      </c>
      <c r="J91" s="3">
        <v>808.67</v>
      </c>
      <c r="K91" s="3">
        <v>0</v>
      </c>
      <c r="L91" s="3">
        <v>875.2</v>
      </c>
      <c r="M91" s="3">
        <v>0</v>
      </c>
      <c r="N91" s="8">
        <v>0</v>
      </c>
      <c r="O91" s="3">
        <v>0</v>
      </c>
      <c r="P91" s="8">
        <v>420.96749999999997</v>
      </c>
      <c r="Q91" s="28">
        <f t="shared" si="1"/>
        <v>2104.8374999999996</v>
      </c>
    </row>
    <row r="92" spans="1:17" ht="15" customHeight="1" x14ac:dyDescent="0.2">
      <c r="A92" s="1">
        <v>126</v>
      </c>
      <c r="B92" s="7" t="s">
        <v>16</v>
      </c>
      <c r="C92" s="7" t="s">
        <v>27</v>
      </c>
      <c r="D92" s="5"/>
      <c r="E92" s="7"/>
      <c r="F92" s="2" t="s">
        <v>9</v>
      </c>
      <c r="G92" s="3">
        <v>367297.93</v>
      </c>
      <c r="H92" s="3">
        <v>332198.27</v>
      </c>
      <c r="I92" s="3">
        <v>377225.22</v>
      </c>
      <c r="J92" s="3">
        <v>308269.57</v>
      </c>
      <c r="K92" s="3">
        <v>387140.51</v>
      </c>
      <c r="L92" s="3">
        <v>299894.74</v>
      </c>
      <c r="M92" s="3">
        <v>379849.56</v>
      </c>
      <c r="N92" s="8">
        <v>332459.74</v>
      </c>
      <c r="O92" s="3">
        <v>377878.30499999999</v>
      </c>
      <c r="P92" s="8">
        <v>318205.58</v>
      </c>
      <c r="Q92" s="28">
        <f t="shared" si="1"/>
        <v>3480419.4250000003</v>
      </c>
    </row>
    <row r="93" spans="1:17" ht="15" customHeight="1" x14ac:dyDescent="0.2">
      <c r="A93" s="1">
        <v>127</v>
      </c>
      <c r="B93" s="7" t="s">
        <v>16</v>
      </c>
      <c r="C93" s="7" t="s">
        <v>27</v>
      </c>
      <c r="D93" s="5"/>
      <c r="E93" s="7"/>
      <c r="F93" s="2" t="s">
        <v>10</v>
      </c>
      <c r="G93" s="3">
        <v>5404.66</v>
      </c>
      <c r="H93" s="3">
        <v>9751.89</v>
      </c>
      <c r="I93" s="3">
        <v>3624.22</v>
      </c>
      <c r="J93" s="3">
        <v>5605.27</v>
      </c>
      <c r="K93" s="3">
        <v>1719.02</v>
      </c>
      <c r="L93" s="3">
        <v>3480.39</v>
      </c>
      <c r="M93" s="3">
        <v>2136.7600000000002</v>
      </c>
      <c r="N93" s="8">
        <v>1709.41</v>
      </c>
      <c r="O93" s="3">
        <v>3221.165</v>
      </c>
      <c r="P93" s="8">
        <v>5136.74</v>
      </c>
      <c r="Q93" s="28">
        <f t="shared" si="1"/>
        <v>41789.525000000001</v>
      </c>
    </row>
    <row r="94" spans="1:17" ht="15" customHeight="1" x14ac:dyDescent="0.2">
      <c r="A94" s="1">
        <v>129</v>
      </c>
      <c r="B94" s="7" t="s">
        <v>16</v>
      </c>
      <c r="C94" s="7" t="s">
        <v>27</v>
      </c>
      <c r="D94" s="5"/>
      <c r="E94" s="26" t="s">
        <v>11</v>
      </c>
      <c r="F94" s="2" t="s">
        <v>11</v>
      </c>
      <c r="G94" s="3">
        <v>2951.51</v>
      </c>
      <c r="H94" s="3">
        <v>55302.44</v>
      </c>
      <c r="I94" s="3">
        <v>3217.2</v>
      </c>
      <c r="J94" s="3">
        <v>73634.399999999994</v>
      </c>
      <c r="K94" s="3">
        <v>1631.69</v>
      </c>
      <c r="L94" s="3">
        <v>88807.48</v>
      </c>
      <c r="M94" s="3">
        <v>2473.33</v>
      </c>
      <c r="N94" s="8">
        <v>72724.990000000005</v>
      </c>
      <c r="O94" s="3">
        <v>2568.4324999999999</v>
      </c>
      <c r="P94" s="8">
        <v>72617.327499999999</v>
      </c>
      <c r="Q94" s="28">
        <f t="shared" si="1"/>
        <v>375928.8</v>
      </c>
    </row>
    <row r="95" spans="1:17" ht="15" customHeight="1" x14ac:dyDescent="0.2">
      <c r="A95" s="1">
        <v>130</v>
      </c>
      <c r="B95" s="7" t="s">
        <v>16</v>
      </c>
      <c r="C95" s="7" t="s">
        <v>27</v>
      </c>
      <c r="D95" s="5"/>
      <c r="E95" s="26" t="s">
        <v>12</v>
      </c>
      <c r="F95" s="2" t="s">
        <v>12</v>
      </c>
      <c r="G95" s="3">
        <v>11140.86</v>
      </c>
      <c r="H95" s="3">
        <v>6615.74</v>
      </c>
      <c r="I95" s="3">
        <v>14704.37</v>
      </c>
      <c r="J95" s="3">
        <v>6839.14</v>
      </c>
      <c r="K95" s="3">
        <v>9597.9500000000007</v>
      </c>
      <c r="L95" s="3">
        <v>6792.76</v>
      </c>
      <c r="M95" s="3">
        <v>8889.3799999999992</v>
      </c>
      <c r="N95" s="8">
        <v>6809.57</v>
      </c>
      <c r="O95" s="3">
        <v>11083.140000000001</v>
      </c>
      <c r="P95" s="8">
        <v>6764.3024999999998</v>
      </c>
      <c r="Q95" s="28">
        <f t="shared" si="1"/>
        <v>89237.212499999994</v>
      </c>
    </row>
    <row r="96" spans="1:17" ht="15" customHeight="1" x14ac:dyDescent="0.2">
      <c r="A96" s="1">
        <v>131</v>
      </c>
      <c r="B96" s="7" t="s">
        <v>16</v>
      </c>
      <c r="C96" s="7" t="s">
        <v>27</v>
      </c>
      <c r="D96" s="7"/>
      <c r="E96" s="2" t="s">
        <v>13</v>
      </c>
      <c r="F96" s="2" t="s">
        <v>13</v>
      </c>
      <c r="G96" s="3">
        <v>31718.76</v>
      </c>
      <c r="H96" s="3">
        <v>43335.68</v>
      </c>
      <c r="I96" s="3">
        <v>24678.080000000002</v>
      </c>
      <c r="J96" s="3">
        <v>41741.129999999997</v>
      </c>
      <c r="K96" s="3">
        <v>29000.16</v>
      </c>
      <c r="L96" s="3">
        <v>42225.82</v>
      </c>
      <c r="M96" s="3">
        <v>36157.65</v>
      </c>
      <c r="N96" s="8">
        <v>40224.15</v>
      </c>
      <c r="O96" s="3">
        <v>30388.662499999999</v>
      </c>
      <c r="P96" s="8">
        <v>41881.695</v>
      </c>
      <c r="Q96" s="28">
        <f t="shared" si="1"/>
        <v>361351.78749999998</v>
      </c>
    </row>
    <row r="97" spans="1:17" ht="15" customHeight="1" x14ac:dyDescent="0.2">
      <c r="A97" s="1">
        <v>132</v>
      </c>
      <c r="B97" s="7" t="s">
        <v>16</v>
      </c>
      <c r="C97" s="7" t="s">
        <v>27</v>
      </c>
      <c r="D97" s="5"/>
      <c r="E97" s="2" t="s">
        <v>14</v>
      </c>
      <c r="F97" s="2" t="s">
        <v>14</v>
      </c>
      <c r="G97" s="3">
        <v>25697.29</v>
      </c>
      <c r="H97" s="3">
        <v>24227.98</v>
      </c>
      <c r="I97" s="3">
        <v>24613.91</v>
      </c>
      <c r="J97" s="3">
        <v>38567.81</v>
      </c>
      <c r="K97" s="3">
        <v>22793.67</v>
      </c>
      <c r="L97" s="3">
        <v>37393.620000000003</v>
      </c>
      <c r="M97" s="3">
        <v>26113.33</v>
      </c>
      <c r="N97" s="8">
        <v>29456.15</v>
      </c>
      <c r="O97" s="3">
        <v>24804.55</v>
      </c>
      <c r="P97" s="8">
        <v>32411.39</v>
      </c>
      <c r="Q97" s="28">
        <f t="shared" si="1"/>
        <v>286079.69999999995</v>
      </c>
    </row>
    <row r="98" spans="1:17" ht="15" customHeight="1" x14ac:dyDescent="0.2">
      <c r="A98" s="1">
        <v>133</v>
      </c>
      <c r="B98" s="7" t="s">
        <v>16</v>
      </c>
      <c r="C98" s="7" t="s">
        <v>28</v>
      </c>
      <c r="D98" s="26" t="s">
        <v>7</v>
      </c>
      <c r="E98" s="2"/>
      <c r="F98" s="2" t="s">
        <v>7</v>
      </c>
      <c r="G98" s="3">
        <v>229021</v>
      </c>
      <c r="H98" s="3">
        <v>244065</v>
      </c>
      <c r="I98" s="3">
        <v>229509</v>
      </c>
      <c r="J98" s="3">
        <v>244598</v>
      </c>
      <c r="K98" s="3">
        <v>229990</v>
      </c>
      <c r="L98" s="3">
        <v>245130</v>
      </c>
      <c r="M98" s="3">
        <v>230465</v>
      </c>
      <c r="N98" s="8">
        <v>245647</v>
      </c>
      <c r="O98" s="3">
        <v>229746.25</v>
      </c>
      <c r="P98" s="8">
        <v>244860</v>
      </c>
      <c r="Q98" s="28">
        <f t="shared" si="1"/>
        <v>2373031.25</v>
      </c>
    </row>
    <row r="99" spans="1:17" ht="15" customHeight="1" x14ac:dyDescent="0.2">
      <c r="A99" s="1">
        <v>135</v>
      </c>
      <c r="B99" s="7" t="s">
        <v>16</v>
      </c>
      <c r="C99" s="7" t="s">
        <v>28</v>
      </c>
      <c r="D99" s="5"/>
      <c r="E99" s="2" t="s">
        <v>8</v>
      </c>
      <c r="F99" s="2" t="s">
        <v>8</v>
      </c>
      <c r="G99" s="3">
        <v>0</v>
      </c>
      <c r="H99" s="3">
        <v>0</v>
      </c>
      <c r="I99" s="3">
        <v>0</v>
      </c>
      <c r="J99" s="3">
        <v>0</v>
      </c>
      <c r="K99" s="3">
        <v>331.13</v>
      </c>
      <c r="L99" s="3">
        <v>0</v>
      </c>
      <c r="M99" s="3">
        <v>0</v>
      </c>
      <c r="N99" s="8">
        <v>0</v>
      </c>
      <c r="O99" s="3">
        <v>82.782499999999999</v>
      </c>
      <c r="P99" s="8">
        <v>0</v>
      </c>
      <c r="Q99" s="28">
        <f t="shared" si="1"/>
        <v>413.91250000000002</v>
      </c>
    </row>
    <row r="100" spans="1:17" ht="15" customHeight="1" x14ac:dyDescent="0.2">
      <c r="A100" s="1">
        <v>137</v>
      </c>
      <c r="B100" s="7" t="s">
        <v>16</v>
      </c>
      <c r="C100" s="7" t="s">
        <v>28</v>
      </c>
      <c r="D100" s="5"/>
      <c r="E100" s="7"/>
      <c r="F100" s="2" t="s">
        <v>9</v>
      </c>
      <c r="G100" s="3">
        <v>193797.68</v>
      </c>
      <c r="H100" s="3">
        <v>168831.58</v>
      </c>
      <c r="I100" s="3">
        <v>196056.83</v>
      </c>
      <c r="J100" s="3">
        <v>181967.02</v>
      </c>
      <c r="K100" s="3">
        <v>190400.24</v>
      </c>
      <c r="L100" s="3">
        <v>170845.97</v>
      </c>
      <c r="M100" s="3">
        <v>194015.9</v>
      </c>
      <c r="N100" s="8">
        <v>168330.72</v>
      </c>
      <c r="O100" s="3">
        <v>193567.66250000001</v>
      </c>
      <c r="P100" s="8">
        <v>172493.82249999998</v>
      </c>
      <c r="Q100" s="28">
        <f t="shared" si="1"/>
        <v>1830307.425</v>
      </c>
    </row>
    <row r="101" spans="1:17" ht="15" customHeight="1" x14ac:dyDescent="0.2">
      <c r="A101" s="1">
        <v>138</v>
      </c>
      <c r="B101" s="7" t="s">
        <v>16</v>
      </c>
      <c r="C101" s="7" t="s">
        <v>28</v>
      </c>
      <c r="D101" s="7"/>
      <c r="E101" s="7"/>
      <c r="F101" s="2" t="s">
        <v>10</v>
      </c>
      <c r="G101" s="3">
        <v>866.75</v>
      </c>
      <c r="H101" s="3">
        <v>1165.08</v>
      </c>
      <c r="I101" s="3">
        <v>1935.56</v>
      </c>
      <c r="J101" s="3">
        <v>904.28</v>
      </c>
      <c r="K101" s="3">
        <v>432.64</v>
      </c>
      <c r="L101" s="3">
        <v>1005.2</v>
      </c>
      <c r="M101" s="3">
        <v>890.44</v>
      </c>
      <c r="N101" s="8">
        <v>834.77</v>
      </c>
      <c r="O101" s="3">
        <v>1031.3474999999999</v>
      </c>
      <c r="P101" s="8">
        <v>977.33249999999987</v>
      </c>
      <c r="Q101" s="28">
        <f t="shared" si="1"/>
        <v>10043.400000000001</v>
      </c>
    </row>
    <row r="102" spans="1:17" ht="15" customHeight="1" x14ac:dyDescent="0.2">
      <c r="A102" s="1">
        <v>140</v>
      </c>
      <c r="B102" s="7" t="s">
        <v>16</v>
      </c>
      <c r="C102" s="7" t="s">
        <v>28</v>
      </c>
      <c r="D102" s="7"/>
      <c r="E102" s="2" t="s">
        <v>11</v>
      </c>
      <c r="F102" s="2" t="s">
        <v>11</v>
      </c>
      <c r="G102" s="3">
        <v>1276.27</v>
      </c>
      <c r="H102" s="3">
        <v>27589.59</v>
      </c>
      <c r="I102" s="3">
        <v>1706.45</v>
      </c>
      <c r="J102" s="3">
        <v>24224.78</v>
      </c>
      <c r="K102" s="3">
        <v>1461.29</v>
      </c>
      <c r="L102" s="3">
        <v>28974.45</v>
      </c>
      <c r="M102" s="3">
        <v>3188.01</v>
      </c>
      <c r="N102" s="8">
        <v>31843</v>
      </c>
      <c r="O102" s="3">
        <v>1908.0050000000001</v>
      </c>
      <c r="P102" s="8">
        <v>28157.954999999998</v>
      </c>
      <c r="Q102" s="28">
        <f t="shared" si="1"/>
        <v>150329.79999999999</v>
      </c>
    </row>
    <row r="103" spans="1:17" ht="15" customHeight="1" x14ac:dyDescent="0.2">
      <c r="A103" s="1">
        <v>141</v>
      </c>
      <c r="B103" s="7" t="s">
        <v>16</v>
      </c>
      <c r="C103" s="7" t="s">
        <v>28</v>
      </c>
      <c r="D103" s="5"/>
      <c r="E103" s="2" t="s">
        <v>12</v>
      </c>
      <c r="F103" s="2" t="s">
        <v>12</v>
      </c>
      <c r="G103" s="3">
        <v>4389.09</v>
      </c>
      <c r="H103" s="3">
        <v>4591.41</v>
      </c>
      <c r="I103" s="3">
        <v>4174.8599999999997</v>
      </c>
      <c r="J103" s="3">
        <v>4116.54</v>
      </c>
      <c r="K103" s="3">
        <v>3736.18</v>
      </c>
      <c r="L103" s="3">
        <v>3455.57</v>
      </c>
      <c r="M103" s="3">
        <v>3463.66</v>
      </c>
      <c r="N103" s="8">
        <v>3319.1</v>
      </c>
      <c r="O103" s="3">
        <v>3940.9475000000002</v>
      </c>
      <c r="P103" s="8">
        <v>3870.6550000000002</v>
      </c>
      <c r="Q103" s="28">
        <f t="shared" si="1"/>
        <v>39058.012499999997</v>
      </c>
    </row>
    <row r="104" spans="1:17" ht="15" customHeight="1" x14ac:dyDescent="0.2">
      <c r="A104" s="1">
        <v>142</v>
      </c>
      <c r="B104" s="7" t="s">
        <v>16</v>
      </c>
      <c r="C104" s="7" t="s">
        <v>28</v>
      </c>
      <c r="D104" s="5"/>
      <c r="E104" s="2" t="s">
        <v>13</v>
      </c>
      <c r="F104" s="2" t="s">
        <v>13</v>
      </c>
      <c r="G104" s="3">
        <v>14876.6</v>
      </c>
      <c r="H104" s="3">
        <v>22735.53</v>
      </c>
      <c r="I104" s="3">
        <v>15201.29</v>
      </c>
      <c r="J104" s="3">
        <v>19739.599999999999</v>
      </c>
      <c r="K104" s="3">
        <v>18837.439999999999</v>
      </c>
      <c r="L104" s="3">
        <v>25432.22</v>
      </c>
      <c r="M104" s="3">
        <v>17189.849999999999</v>
      </c>
      <c r="N104" s="8">
        <v>25042.61</v>
      </c>
      <c r="O104" s="3">
        <v>16526.294999999998</v>
      </c>
      <c r="P104" s="8">
        <v>23237.49</v>
      </c>
      <c r="Q104" s="28">
        <f t="shared" si="1"/>
        <v>198818.92499999999</v>
      </c>
    </row>
    <row r="105" spans="1:17" ht="15" customHeight="1" x14ac:dyDescent="0.2">
      <c r="A105" s="1">
        <v>143</v>
      </c>
      <c r="B105" s="7" t="s">
        <v>16</v>
      </c>
      <c r="C105" s="7" t="s">
        <v>28</v>
      </c>
      <c r="D105" s="5"/>
      <c r="E105" s="26" t="s">
        <v>14</v>
      </c>
      <c r="F105" s="2" t="s">
        <v>14</v>
      </c>
      <c r="G105" s="3">
        <v>13814.62</v>
      </c>
      <c r="H105" s="3">
        <v>19151.810000000001</v>
      </c>
      <c r="I105" s="3">
        <v>10434</v>
      </c>
      <c r="J105" s="3">
        <v>13645.78</v>
      </c>
      <c r="K105" s="3">
        <v>14791.07</v>
      </c>
      <c r="L105" s="3">
        <v>15416.59</v>
      </c>
      <c r="M105" s="3">
        <v>11717.14</v>
      </c>
      <c r="N105" s="8">
        <v>16276.8</v>
      </c>
      <c r="O105" s="3">
        <v>12689.2075</v>
      </c>
      <c r="P105" s="8">
        <v>16122.745000000003</v>
      </c>
      <c r="Q105" s="28">
        <f t="shared" si="1"/>
        <v>144059.76250000001</v>
      </c>
    </row>
    <row r="106" spans="1:17" ht="15" customHeight="1" x14ac:dyDescent="0.2">
      <c r="A106" s="1">
        <v>144</v>
      </c>
      <c r="B106" s="7" t="s">
        <v>16</v>
      </c>
      <c r="C106" s="7" t="s">
        <v>29</v>
      </c>
      <c r="D106" s="26" t="s">
        <v>7</v>
      </c>
      <c r="E106" s="26"/>
      <c r="F106" s="2" t="s">
        <v>7</v>
      </c>
      <c r="G106" s="3">
        <v>111448</v>
      </c>
      <c r="H106" s="3">
        <v>118688</v>
      </c>
      <c r="I106" s="3">
        <v>111728</v>
      </c>
      <c r="J106" s="3">
        <v>118990</v>
      </c>
      <c r="K106" s="3">
        <v>112006</v>
      </c>
      <c r="L106" s="3">
        <v>119293</v>
      </c>
      <c r="M106" s="3">
        <v>112267</v>
      </c>
      <c r="N106" s="8">
        <v>119584</v>
      </c>
      <c r="O106" s="3">
        <v>111862.25</v>
      </c>
      <c r="P106" s="8">
        <v>119138.75</v>
      </c>
      <c r="Q106" s="28">
        <f t="shared" si="1"/>
        <v>1155005</v>
      </c>
    </row>
    <row r="107" spans="1:17" ht="15" customHeight="1" x14ac:dyDescent="0.2">
      <c r="A107" s="1">
        <v>146</v>
      </c>
      <c r="B107" s="7" t="s">
        <v>16</v>
      </c>
      <c r="C107" s="7" t="s">
        <v>29</v>
      </c>
      <c r="D107" s="7"/>
      <c r="E107" s="2" t="s">
        <v>8</v>
      </c>
      <c r="F107" s="2" t="s">
        <v>8</v>
      </c>
      <c r="G107" s="3">
        <v>0</v>
      </c>
      <c r="H107" s="3">
        <v>0</v>
      </c>
      <c r="I107" s="3">
        <v>32.270000000000003</v>
      </c>
      <c r="J107" s="3">
        <v>34.200000000000003</v>
      </c>
      <c r="K107" s="3">
        <v>0</v>
      </c>
      <c r="L107" s="3">
        <v>0</v>
      </c>
      <c r="M107" s="3">
        <v>0</v>
      </c>
      <c r="N107" s="8">
        <v>0</v>
      </c>
      <c r="O107" s="3">
        <v>8.0675000000000008</v>
      </c>
      <c r="P107" s="8">
        <v>8.5500000000000007</v>
      </c>
      <c r="Q107" s="28">
        <f t="shared" si="1"/>
        <v>83.087499999999991</v>
      </c>
    </row>
    <row r="108" spans="1:17" ht="15" customHeight="1" x14ac:dyDescent="0.2">
      <c r="A108" s="1">
        <v>148</v>
      </c>
      <c r="B108" s="7" t="s">
        <v>16</v>
      </c>
      <c r="C108" s="7" t="s">
        <v>29</v>
      </c>
      <c r="D108" s="5"/>
      <c r="E108" s="7"/>
      <c r="F108" s="2" t="s">
        <v>9</v>
      </c>
      <c r="G108" s="3">
        <v>93501.4</v>
      </c>
      <c r="H108" s="3">
        <v>79901.279999999999</v>
      </c>
      <c r="I108" s="3">
        <v>94854.44</v>
      </c>
      <c r="J108" s="3">
        <v>77889</v>
      </c>
      <c r="K108" s="3">
        <v>95096.89</v>
      </c>
      <c r="L108" s="3">
        <v>77511.66</v>
      </c>
      <c r="M108" s="3">
        <v>92907.69</v>
      </c>
      <c r="N108" s="8">
        <v>78592.990000000005</v>
      </c>
      <c r="O108" s="3">
        <v>94090.104999999996</v>
      </c>
      <c r="P108" s="8">
        <v>78473.732499999998</v>
      </c>
      <c r="Q108" s="28">
        <f t="shared" si="1"/>
        <v>862819.18750000012</v>
      </c>
    </row>
    <row r="109" spans="1:17" ht="15" customHeight="1" x14ac:dyDescent="0.2">
      <c r="A109" s="1">
        <v>149</v>
      </c>
      <c r="B109" s="7" t="s">
        <v>16</v>
      </c>
      <c r="C109" s="7" t="s">
        <v>29</v>
      </c>
      <c r="D109" s="5"/>
      <c r="E109" s="7"/>
      <c r="F109" s="2" t="s">
        <v>10</v>
      </c>
      <c r="G109" s="3">
        <v>449.05</v>
      </c>
      <c r="H109" s="3">
        <v>743.13</v>
      </c>
      <c r="I109" s="3">
        <v>1346.48</v>
      </c>
      <c r="J109" s="3">
        <v>309.91000000000003</v>
      </c>
      <c r="K109" s="3">
        <v>328.53</v>
      </c>
      <c r="L109" s="3">
        <v>955.18</v>
      </c>
      <c r="M109" s="3">
        <v>677.85</v>
      </c>
      <c r="N109" s="8">
        <v>574.67999999999995</v>
      </c>
      <c r="O109" s="3">
        <v>700.47749999999996</v>
      </c>
      <c r="P109" s="8">
        <v>645.72499999999991</v>
      </c>
      <c r="Q109" s="28">
        <f t="shared" si="1"/>
        <v>6731.0125000000007</v>
      </c>
    </row>
    <row r="110" spans="1:17" ht="15" customHeight="1" x14ac:dyDescent="0.2">
      <c r="A110" s="1">
        <v>151</v>
      </c>
      <c r="B110" s="7" t="s">
        <v>16</v>
      </c>
      <c r="C110" s="7" t="s">
        <v>29</v>
      </c>
      <c r="D110" s="5"/>
      <c r="E110" s="2" t="s">
        <v>11</v>
      </c>
      <c r="F110" s="2" t="s">
        <v>11</v>
      </c>
      <c r="G110" s="3">
        <v>347.86</v>
      </c>
      <c r="H110" s="3">
        <v>17471.36</v>
      </c>
      <c r="I110" s="3">
        <v>574.46</v>
      </c>
      <c r="J110" s="3">
        <v>19303.939999999999</v>
      </c>
      <c r="K110" s="3">
        <v>391.56</v>
      </c>
      <c r="L110" s="3">
        <v>18958.599999999999</v>
      </c>
      <c r="M110" s="3">
        <v>575.34</v>
      </c>
      <c r="N110" s="8">
        <v>18918.32</v>
      </c>
      <c r="O110" s="3">
        <v>472.30500000000006</v>
      </c>
      <c r="P110" s="8">
        <v>18663.055</v>
      </c>
      <c r="Q110" s="28">
        <f t="shared" si="1"/>
        <v>95676.799999999988</v>
      </c>
    </row>
    <row r="111" spans="1:17" ht="15" customHeight="1" x14ac:dyDescent="0.2">
      <c r="A111" s="1">
        <v>152</v>
      </c>
      <c r="B111" s="7" t="s">
        <v>16</v>
      </c>
      <c r="C111" s="7" t="s">
        <v>29</v>
      </c>
      <c r="D111" s="5"/>
      <c r="E111" s="2" t="s">
        <v>12</v>
      </c>
      <c r="F111" s="2" t="s">
        <v>12</v>
      </c>
      <c r="G111" s="3">
        <v>3847.53</v>
      </c>
      <c r="H111" s="3">
        <v>2745.82</v>
      </c>
      <c r="I111" s="3">
        <v>1739.11</v>
      </c>
      <c r="J111" s="3">
        <v>2963.7</v>
      </c>
      <c r="K111" s="3">
        <v>2749.81</v>
      </c>
      <c r="L111" s="3">
        <v>3114.99</v>
      </c>
      <c r="M111" s="3">
        <v>2838.31</v>
      </c>
      <c r="N111" s="8">
        <v>2720.49</v>
      </c>
      <c r="O111" s="3">
        <v>2793.69</v>
      </c>
      <c r="P111" s="8">
        <v>2886.25</v>
      </c>
      <c r="Q111" s="28">
        <f t="shared" si="1"/>
        <v>28399.7</v>
      </c>
    </row>
    <row r="112" spans="1:17" ht="15" customHeight="1" x14ac:dyDescent="0.2">
      <c r="A112" s="1">
        <v>153</v>
      </c>
      <c r="B112" s="7" t="s">
        <v>16</v>
      </c>
      <c r="C112" s="7" t="s">
        <v>29</v>
      </c>
      <c r="D112" s="7"/>
      <c r="E112" s="2" t="s">
        <v>13</v>
      </c>
      <c r="F112" s="2" t="s">
        <v>13</v>
      </c>
      <c r="G112" s="3">
        <v>8554.48</v>
      </c>
      <c r="H112" s="3">
        <v>11472.76</v>
      </c>
      <c r="I112" s="3">
        <v>8019.72</v>
      </c>
      <c r="J112" s="3">
        <v>12102.63</v>
      </c>
      <c r="K112" s="3">
        <v>7801.69</v>
      </c>
      <c r="L112" s="3">
        <v>12520.09</v>
      </c>
      <c r="M112" s="3">
        <v>9894.48</v>
      </c>
      <c r="N112" s="8">
        <v>12129.27</v>
      </c>
      <c r="O112" s="3">
        <v>8567.5924999999988</v>
      </c>
      <c r="P112" s="8">
        <v>12056.1875</v>
      </c>
      <c r="Q112" s="28">
        <f t="shared" si="1"/>
        <v>103118.9</v>
      </c>
    </row>
    <row r="113" spans="1:17" ht="15" customHeight="1" x14ac:dyDescent="0.2">
      <c r="A113" s="1">
        <v>154</v>
      </c>
      <c r="B113" s="7" t="s">
        <v>16</v>
      </c>
      <c r="C113" s="7" t="s">
        <v>29</v>
      </c>
      <c r="D113" s="7"/>
      <c r="E113" s="2" t="s">
        <v>14</v>
      </c>
      <c r="F113" s="2" t="s">
        <v>14</v>
      </c>
      <c r="G113" s="3">
        <v>4747.67</v>
      </c>
      <c r="H113" s="3">
        <v>6353.64</v>
      </c>
      <c r="I113" s="3">
        <v>5161.5200000000004</v>
      </c>
      <c r="J113" s="3">
        <v>6386.62</v>
      </c>
      <c r="K113" s="3">
        <v>5637.53</v>
      </c>
      <c r="L113" s="3">
        <v>6232.48</v>
      </c>
      <c r="M113" s="3">
        <v>5373.34</v>
      </c>
      <c r="N113" s="8">
        <v>6648.25</v>
      </c>
      <c r="O113" s="3">
        <v>5230.0150000000003</v>
      </c>
      <c r="P113" s="8">
        <v>6405.2474999999995</v>
      </c>
      <c r="Q113" s="28">
        <f t="shared" si="1"/>
        <v>58176.3125</v>
      </c>
    </row>
    <row r="114" spans="1:17" ht="15" customHeight="1" x14ac:dyDescent="0.2">
      <c r="A114" s="1">
        <v>155</v>
      </c>
      <c r="B114" s="7" t="s">
        <v>16</v>
      </c>
      <c r="C114" s="7" t="s">
        <v>30</v>
      </c>
      <c r="D114" s="26" t="s">
        <v>7</v>
      </c>
      <c r="E114" s="2"/>
      <c r="F114" s="2" t="s">
        <v>7</v>
      </c>
      <c r="G114" s="3">
        <v>366367</v>
      </c>
      <c r="H114" s="3">
        <v>390145</v>
      </c>
      <c r="I114" s="3">
        <v>369507</v>
      </c>
      <c r="J114" s="3">
        <v>393479</v>
      </c>
      <c r="K114" s="3">
        <v>372633</v>
      </c>
      <c r="L114" s="3">
        <v>396801</v>
      </c>
      <c r="M114" s="3">
        <v>375704</v>
      </c>
      <c r="N114" s="8">
        <v>400065</v>
      </c>
      <c r="O114" s="3">
        <v>371052.75</v>
      </c>
      <c r="P114" s="8">
        <v>395122.5</v>
      </c>
      <c r="Q114" s="28">
        <f t="shared" si="1"/>
        <v>3830876.25</v>
      </c>
    </row>
    <row r="115" spans="1:17" ht="15" customHeight="1" x14ac:dyDescent="0.2">
      <c r="A115" s="1">
        <v>157</v>
      </c>
      <c r="B115" s="7" t="s">
        <v>16</v>
      </c>
      <c r="C115" s="7" t="s">
        <v>30</v>
      </c>
      <c r="D115" s="5"/>
      <c r="E115" s="2" t="s">
        <v>8</v>
      </c>
      <c r="F115" s="2" t="s">
        <v>8</v>
      </c>
      <c r="G115" s="3">
        <v>749.62</v>
      </c>
      <c r="H115" s="3">
        <v>0</v>
      </c>
      <c r="I115" s="3">
        <v>938.89</v>
      </c>
      <c r="J115" s="3">
        <v>0</v>
      </c>
      <c r="K115" s="3">
        <v>0</v>
      </c>
      <c r="L115" s="3">
        <v>0</v>
      </c>
      <c r="M115" s="3">
        <v>0</v>
      </c>
      <c r="N115" s="8">
        <v>0</v>
      </c>
      <c r="O115" s="3">
        <v>422.1275</v>
      </c>
      <c r="P115" s="8">
        <v>0</v>
      </c>
      <c r="Q115" s="28">
        <f t="shared" si="1"/>
        <v>2110.6374999999998</v>
      </c>
    </row>
    <row r="116" spans="1:17" ht="15" customHeight="1" x14ac:dyDescent="0.2">
      <c r="A116" s="1">
        <v>159</v>
      </c>
      <c r="B116" s="7" t="s">
        <v>16</v>
      </c>
      <c r="C116" s="7" t="s">
        <v>30</v>
      </c>
      <c r="D116" s="5"/>
      <c r="E116" s="5"/>
      <c r="F116" s="2" t="s">
        <v>9</v>
      </c>
      <c r="G116" s="3">
        <v>299838.87</v>
      </c>
      <c r="H116" s="3">
        <v>252146.99</v>
      </c>
      <c r="I116" s="3">
        <v>300873.5</v>
      </c>
      <c r="J116" s="3">
        <v>253270.28</v>
      </c>
      <c r="K116" s="3">
        <v>299885.5</v>
      </c>
      <c r="L116" s="3">
        <v>253853.44</v>
      </c>
      <c r="M116" s="3">
        <v>305950.21999999997</v>
      </c>
      <c r="N116" s="8">
        <v>258362.94</v>
      </c>
      <c r="O116" s="3">
        <v>301637.02249999996</v>
      </c>
      <c r="P116" s="8">
        <v>254408.41249999998</v>
      </c>
      <c r="Q116" s="28">
        <f t="shared" si="1"/>
        <v>2780227.1749999998</v>
      </c>
    </row>
    <row r="117" spans="1:17" ht="15" customHeight="1" x14ac:dyDescent="0.2">
      <c r="A117" s="1">
        <v>160</v>
      </c>
      <c r="B117" s="7" t="s">
        <v>16</v>
      </c>
      <c r="C117" s="7" t="s">
        <v>30</v>
      </c>
      <c r="D117" s="5"/>
      <c r="E117" s="5"/>
      <c r="F117" s="2" t="s">
        <v>10</v>
      </c>
      <c r="G117" s="3">
        <v>1943.13</v>
      </c>
      <c r="H117" s="3">
        <v>1931.89</v>
      </c>
      <c r="I117" s="3">
        <v>1243.4100000000001</v>
      </c>
      <c r="J117" s="3">
        <v>591.52</v>
      </c>
      <c r="K117" s="3">
        <v>2601.96</v>
      </c>
      <c r="L117" s="3">
        <v>1377.43</v>
      </c>
      <c r="M117" s="3">
        <v>919.3</v>
      </c>
      <c r="N117" s="8">
        <v>202.57</v>
      </c>
      <c r="O117" s="3">
        <v>1676.95</v>
      </c>
      <c r="P117" s="8">
        <v>1025.8525</v>
      </c>
      <c r="Q117" s="28">
        <f t="shared" si="1"/>
        <v>13514.012500000001</v>
      </c>
    </row>
    <row r="118" spans="1:17" ht="15" customHeight="1" x14ac:dyDescent="0.2">
      <c r="A118" s="1">
        <v>162</v>
      </c>
      <c r="B118" s="7" t="s">
        <v>16</v>
      </c>
      <c r="C118" s="7" t="s">
        <v>30</v>
      </c>
      <c r="D118" s="7"/>
      <c r="E118" s="2" t="s">
        <v>11</v>
      </c>
      <c r="F118" s="2" t="s">
        <v>11</v>
      </c>
      <c r="G118" s="3">
        <v>6750.2</v>
      </c>
      <c r="H118" s="3">
        <v>70710.210000000006</v>
      </c>
      <c r="I118" s="3">
        <v>8380.51</v>
      </c>
      <c r="J118" s="3">
        <v>73209.429999999993</v>
      </c>
      <c r="K118" s="3">
        <v>9260.14</v>
      </c>
      <c r="L118" s="3">
        <v>72882.16</v>
      </c>
      <c r="M118" s="3">
        <v>5999.5</v>
      </c>
      <c r="N118" s="8">
        <v>76462.759999999995</v>
      </c>
      <c r="O118" s="3">
        <v>7597.5874999999996</v>
      </c>
      <c r="P118" s="8">
        <v>73316.14</v>
      </c>
      <c r="Q118" s="28">
        <f t="shared" si="1"/>
        <v>404568.63750000001</v>
      </c>
    </row>
    <row r="119" spans="1:17" ht="15" customHeight="1" x14ac:dyDescent="0.2">
      <c r="A119" s="1">
        <v>163</v>
      </c>
      <c r="B119" s="7" t="s">
        <v>16</v>
      </c>
      <c r="C119" s="7" t="s">
        <v>30</v>
      </c>
      <c r="D119" s="5"/>
      <c r="E119" s="2" t="s">
        <v>12</v>
      </c>
      <c r="F119" s="2" t="s">
        <v>12</v>
      </c>
      <c r="G119" s="3">
        <v>5604</v>
      </c>
      <c r="H119" s="3">
        <v>5156.4399999999996</v>
      </c>
      <c r="I119" s="3">
        <v>7723.21</v>
      </c>
      <c r="J119" s="3">
        <v>7091.75</v>
      </c>
      <c r="K119" s="3">
        <v>5428.61</v>
      </c>
      <c r="L119" s="3">
        <v>4481.01</v>
      </c>
      <c r="M119" s="3">
        <v>6410.47</v>
      </c>
      <c r="N119" s="8">
        <v>4529.8100000000004</v>
      </c>
      <c r="O119" s="3">
        <v>6291.5725000000002</v>
      </c>
      <c r="P119" s="8">
        <v>5314.7524999999996</v>
      </c>
      <c r="Q119" s="28">
        <f t="shared" si="1"/>
        <v>58031.625</v>
      </c>
    </row>
    <row r="120" spans="1:17" ht="15" customHeight="1" x14ac:dyDescent="0.2">
      <c r="A120" s="1">
        <v>164</v>
      </c>
      <c r="B120" s="7" t="s">
        <v>16</v>
      </c>
      <c r="C120" s="7" t="s">
        <v>30</v>
      </c>
      <c r="D120" s="5"/>
      <c r="E120" s="2" t="s">
        <v>13</v>
      </c>
      <c r="F120" s="2" t="s">
        <v>13</v>
      </c>
      <c r="G120" s="3">
        <v>27734.25</v>
      </c>
      <c r="H120" s="3">
        <v>34253.919999999998</v>
      </c>
      <c r="I120" s="3">
        <v>28447.38</v>
      </c>
      <c r="J120" s="3">
        <v>32629.66</v>
      </c>
      <c r="K120" s="3">
        <v>28593.72</v>
      </c>
      <c r="L120" s="3">
        <v>37014.85</v>
      </c>
      <c r="M120" s="3">
        <v>29185.63</v>
      </c>
      <c r="N120" s="8">
        <v>34660.019999999997</v>
      </c>
      <c r="O120" s="3">
        <v>28490.245000000003</v>
      </c>
      <c r="P120" s="8">
        <v>34639.612499999996</v>
      </c>
      <c r="Q120" s="28">
        <f t="shared" si="1"/>
        <v>315649.28749999998</v>
      </c>
    </row>
    <row r="121" spans="1:17" ht="15" customHeight="1" x14ac:dyDescent="0.2">
      <c r="A121" s="1">
        <v>165</v>
      </c>
      <c r="B121" s="7" t="s">
        <v>16</v>
      </c>
      <c r="C121" s="7" t="s">
        <v>30</v>
      </c>
      <c r="D121" s="5"/>
      <c r="E121" s="2" t="s">
        <v>14</v>
      </c>
      <c r="F121" s="2" t="s">
        <v>14</v>
      </c>
      <c r="G121" s="3">
        <v>23746.94</v>
      </c>
      <c r="H121" s="3">
        <v>25945.56</v>
      </c>
      <c r="I121" s="3">
        <v>21900.09</v>
      </c>
      <c r="J121" s="3">
        <v>26686.37</v>
      </c>
      <c r="K121" s="3">
        <v>26863.08</v>
      </c>
      <c r="L121" s="3">
        <v>27192.11</v>
      </c>
      <c r="M121" s="3">
        <v>27238.9</v>
      </c>
      <c r="N121" s="8">
        <v>25846.9</v>
      </c>
      <c r="O121" s="3">
        <v>24937.252500000002</v>
      </c>
      <c r="P121" s="8">
        <v>26417.735000000001</v>
      </c>
      <c r="Q121" s="28">
        <f t="shared" si="1"/>
        <v>256774.9375</v>
      </c>
    </row>
    <row r="122" spans="1:17" ht="15" customHeight="1" x14ac:dyDescent="0.2">
      <c r="A122" s="1">
        <v>166</v>
      </c>
      <c r="B122" s="7" t="s">
        <v>16</v>
      </c>
      <c r="C122" s="7" t="s">
        <v>31</v>
      </c>
      <c r="D122" s="26" t="s">
        <v>7</v>
      </c>
      <c r="E122" s="2"/>
      <c r="F122" s="2" t="s">
        <v>7</v>
      </c>
      <c r="G122" s="3">
        <v>262870</v>
      </c>
      <c r="H122" s="3">
        <v>284353</v>
      </c>
      <c r="I122" s="3">
        <v>263874</v>
      </c>
      <c r="J122" s="3">
        <v>285448</v>
      </c>
      <c r="K122" s="3">
        <v>264876</v>
      </c>
      <c r="L122" s="3">
        <v>286535</v>
      </c>
      <c r="M122" s="3">
        <v>265855</v>
      </c>
      <c r="N122" s="8">
        <v>287588</v>
      </c>
      <c r="O122" s="3">
        <v>264368.75</v>
      </c>
      <c r="P122" s="8">
        <v>285981</v>
      </c>
      <c r="Q122" s="28">
        <f t="shared" si="1"/>
        <v>2751748.75</v>
      </c>
    </row>
    <row r="123" spans="1:17" ht="15" customHeight="1" x14ac:dyDescent="0.2">
      <c r="A123" s="1">
        <v>168</v>
      </c>
      <c r="B123" s="7" t="s">
        <v>16</v>
      </c>
      <c r="C123" s="7" t="s">
        <v>31</v>
      </c>
      <c r="D123" s="7"/>
      <c r="E123" s="2" t="s">
        <v>8</v>
      </c>
      <c r="F123" s="2" t="s">
        <v>8</v>
      </c>
      <c r="G123" s="3">
        <v>1903.86</v>
      </c>
      <c r="H123" s="3">
        <v>0</v>
      </c>
      <c r="I123" s="3">
        <v>0</v>
      </c>
      <c r="J123" s="3">
        <v>442.59</v>
      </c>
      <c r="K123" s="3">
        <v>0</v>
      </c>
      <c r="L123" s="3">
        <v>0</v>
      </c>
      <c r="M123" s="3">
        <v>0</v>
      </c>
      <c r="N123" s="8">
        <v>374.31</v>
      </c>
      <c r="O123" s="3">
        <v>475.96499999999997</v>
      </c>
      <c r="P123" s="8">
        <v>204.22499999999999</v>
      </c>
      <c r="Q123" s="28">
        <f t="shared" si="1"/>
        <v>3400.95</v>
      </c>
    </row>
    <row r="124" spans="1:17" ht="15" customHeight="1" x14ac:dyDescent="0.2">
      <c r="A124" s="1">
        <v>170</v>
      </c>
      <c r="B124" s="7" t="s">
        <v>16</v>
      </c>
      <c r="C124" s="7" t="s">
        <v>31</v>
      </c>
      <c r="D124" s="7"/>
      <c r="E124" s="7"/>
      <c r="F124" s="2" t="s">
        <v>9</v>
      </c>
      <c r="G124" s="3">
        <v>198005.34</v>
      </c>
      <c r="H124" s="3">
        <v>187561.87</v>
      </c>
      <c r="I124" s="3">
        <v>210913.24</v>
      </c>
      <c r="J124" s="3">
        <v>181931.47</v>
      </c>
      <c r="K124" s="3">
        <v>209925.42</v>
      </c>
      <c r="L124" s="3">
        <v>181960.65</v>
      </c>
      <c r="M124" s="3">
        <v>207428.12</v>
      </c>
      <c r="N124" s="8">
        <v>184462.03</v>
      </c>
      <c r="O124" s="3">
        <v>206568.03</v>
      </c>
      <c r="P124" s="8">
        <v>183979.005</v>
      </c>
      <c r="Q124" s="28">
        <f t="shared" si="1"/>
        <v>1952735.1749999998</v>
      </c>
    </row>
    <row r="125" spans="1:17" ht="15" customHeight="1" x14ac:dyDescent="0.2">
      <c r="A125" s="1">
        <v>171</v>
      </c>
      <c r="B125" s="7" t="s">
        <v>16</v>
      </c>
      <c r="C125" s="7" t="s">
        <v>31</v>
      </c>
      <c r="D125" s="5"/>
      <c r="E125" s="7"/>
      <c r="F125" s="2" t="s">
        <v>10</v>
      </c>
      <c r="G125" s="3">
        <v>2064.39</v>
      </c>
      <c r="H125" s="3">
        <v>494.22</v>
      </c>
      <c r="I125" s="3">
        <v>2672.46</v>
      </c>
      <c r="J125" s="3">
        <v>1006.62</v>
      </c>
      <c r="K125" s="3">
        <v>2895.5</v>
      </c>
      <c r="L125" s="3">
        <v>982.4</v>
      </c>
      <c r="M125" s="3">
        <v>3985.48</v>
      </c>
      <c r="N125" s="8">
        <v>1014.39</v>
      </c>
      <c r="O125" s="3">
        <v>2904.4575</v>
      </c>
      <c r="P125" s="8">
        <v>874.40750000000003</v>
      </c>
      <c r="Q125" s="28">
        <f t="shared" si="1"/>
        <v>18894.324999999997</v>
      </c>
    </row>
    <row r="126" spans="1:17" ht="15" customHeight="1" x14ac:dyDescent="0.2">
      <c r="A126" s="1">
        <v>173</v>
      </c>
      <c r="B126" s="7" t="s">
        <v>16</v>
      </c>
      <c r="C126" s="7" t="s">
        <v>31</v>
      </c>
      <c r="D126" s="5"/>
      <c r="E126" s="2" t="s">
        <v>11</v>
      </c>
      <c r="F126" s="2" t="s">
        <v>11</v>
      </c>
      <c r="G126" s="3">
        <v>6776.18</v>
      </c>
      <c r="H126" s="3">
        <v>46850.11</v>
      </c>
      <c r="I126" s="3">
        <v>7175.21</v>
      </c>
      <c r="J126" s="3">
        <v>50664.07</v>
      </c>
      <c r="K126" s="3">
        <v>2992.99</v>
      </c>
      <c r="L126" s="3">
        <v>57382.84</v>
      </c>
      <c r="M126" s="3">
        <v>4025.5</v>
      </c>
      <c r="N126" s="8">
        <v>57795.199999999997</v>
      </c>
      <c r="O126" s="3">
        <v>5242.4699999999993</v>
      </c>
      <c r="P126" s="8">
        <v>53173.054999999993</v>
      </c>
      <c r="Q126" s="28">
        <f t="shared" si="1"/>
        <v>292077.625</v>
      </c>
    </row>
    <row r="127" spans="1:17" ht="15" customHeight="1" x14ac:dyDescent="0.2">
      <c r="A127" s="1">
        <v>174</v>
      </c>
      <c r="B127" s="7" t="s">
        <v>16</v>
      </c>
      <c r="C127" s="7" t="s">
        <v>31</v>
      </c>
      <c r="D127" s="5"/>
      <c r="E127" s="26" t="s">
        <v>12</v>
      </c>
      <c r="F127" s="2" t="s">
        <v>12</v>
      </c>
      <c r="G127" s="3">
        <v>20002.52</v>
      </c>
      <c r="H127" s="3">
        <v>13400.47</v>
      </c>
      <c r="I127" s="3">
        <v>11662.05</v>
      </c>
      <c r="J127" s="3">
        <v>10534.83</v>
      </c>
      <c r="K127" s="3">
        <v>14931.45</v>
      </c>
      <c r="L127" s="3">
        <v>6369.05</v>
      </c>
      <c r="M127" s="3">
        <v>13613.85</v>
      </c>
      <c r="N127" s="8">
        <v>6308.75</v>
      </c>
      <c r="O127" s="3">
        <v>15052.467500000001</v>
      </c>
      <c r="P127" s="8">
        <v>9153.2749999999996</v>
      </c>
      <c r="Q127" s="28">
        <f t="shared" si="1"/>
        <v>121028.71249999999</v>
      </c>
    </row>
    <row r="128" spans="1:17" ht="15" customHeight="1" x14ac:dyDescent="0.2">
      <c r="A128" s="1">
        <v>175</v>
      </c>
      <c r="B128" s="7" t="s">
        <v>16</v>
      </c>
      <c r="C128" s="7" t="s">
        <v>31</v>
      </c>
      <c r="D128" s="5"/>
      <c r="E128" s="26" t="s">
        <v>13</v>
      </c>
      <c r="F128" s="2" t="s">
        <v>13</v>
      </c>
      <c r="G128" s="3">
        <v>20043.5</v>
      </c>
      <c r="H128" s="3">
        <v>22154.12</v>
      </c>
      <c r="I128" s="3">
        <v>18899.91</v>
      </c>
      <c r="J128" s="3">
        <v>25536.03</v>
      </c>
      <c r="K128" s="3">
        <v>20237.97</v>
      </c>
      <c r="L128" s="3">
        <v>19451.830000000002</v>
      </c>
      <c r="M128" s="3">
        <v>22043.88</v>
      </c>
      <c r="N128" s="8">
        <v>23653.599999999999</v>
      </c>
      <c r="O128" s="3">
        <v>20306.315000000002</v>
      </c>
      <c r="P128" s="8">
        <v>22698.894999999997</v>
      </c>
      <c r="Q128" s="28">
        <f t="shared" si="1"/>
        <v>215026.05</v>
      </c>
    </row>
    <row r="129" spans="1:17" ht="15" customHeight="1" x14ac:dyDescent="0.2">
      <c r="A129" s="1">
        <v>176</v>
      </c>
      <c r="B129" s="7" t="s">
        <v>16</v>
      </c>
      <c r="C129" s="7" t="s">
        <v>31</v>
      </c>
      <c r="D129" s="7"/>
      <c r="E129" s="2" t="s">
        <v>14</v>
      </c>
      <c r="F129" s="2" t="s">
        <v>14</v>
      </c>
      <c r="G129" s="3">
        <v>14074.2</v>
      </c>
      <c r="H129" s="3">
        <v>13892.21</v>
      </c>
      <c r="I129" s="3">
        <v>12551.13</v>
      </c>
      <c r="J129" s="3">
        <v>15332.4</v>
      </c>
      <c r="K129" s="3">
        <v>13892.66</v>
      </c>
      <c r="L129" s="3">
        <v>20388.22</v>
      </c>
      <c r="M129" s="3">
        <v>14758.18</v>
      </c>
      <c r="N129" s="8">
        <v>13979.71</v>
      </c>
      <c r="O129" s="3">
        <v>13819.042500000001</v>
      </c>
      <c r="P129" s="8">
        <v>15898.135</v>
      </c>
      <c r="Q129" s="28">
        <f t="shared" si="1"/>
        <v>148585.88750000001</v>
      </c>
    </row>
    <row r="130" spans="1:17" ht="15" customHeight="1" x14ac:dyDescent="0.2">
      <c r="A130" s="1">
        <v>177</v>
      </c>
      <c r="B130" s="7" t="s">
        <v>16</v>
      </c>
      <c r="C130" s="7" t="s">
        <v>32</v>
      </c>
      <c r="D130" s="26" t="s">
        <v>7</v>
      </c>
      <c r="E130" s="2"/>
      <c r="F130" s="2" t="s">
        <v>7</v>
      </c>
      <c r="G130" s="3">
        <v>106082</v>
      </c>
      <c r="H130" s="3">
        <v>113076</v>
      </c>
      <c r="I130" s="3">
        <v>106231</v>
      </c>
      <c r="J130" s="3">
        <v>113246</v>
      </c>
      <c r="K130" s="3">
        <v>106387</v>
      </c>
      <c r="L130" s="3">
        <v>113412</v>
      </c>
      <c r="M130" s="3">
        <v>106537</v>
      </c>
      <c r="N130" s="8">
        <v>113576</v>
      </c>
      <c r="O130" s="3">
        <v>106309.25</v>
      </c>
      <c r="P130" s="8">
        <v>113327.5</v>
      </c>
      <c r="Q130" s="28">
        <f t="shared" si="1"/>
        <v>1098183.75</v>
      </c>
    </row>
    <row r="131" spans="1:17" ht="15" customHeight="1" x14ac:dyDescent="0.2">
      <c r="A131" s="1">
        <v>179</v>
      </c>
      <c r="B131" s="7" t="s">
        <v>16</v>
      </c>
      <c r="C131" s="7" t="s">
        <v>32</v>
      </c>
      <c r="D131" s="5"/>
      <c r="E131" s="2" t="s">
        <v>8</v>
      </c>
      <c r="F131" s="2" t="s">
        <v>8</v>
      </c>
      <c r="G131" s="3">
        <v>86.29</v>
      </c>
      <c r="H131" s="3">
        <v>168.8</v>
      </c>
      <c r="I131" s="3">
        <v>194.11</v>
      </c>
      <c r="J131" s="3">
        <v>142.44999999999999</v>
      </c>
      <c r="K131" s="3">
        <v>0</v>
      </c>
      <c r="L131" s="3">
        <v>0</v>
      </c>
      <c r="M131" s="3">
        <v>0</v>
      </c>
      <c r="N131" s="8">
        <v>92.87</v>
      </c>
      <c r="O131" s="3">
        <v>70.100000000000009</v>
      </c>
      <c r="P131" s="8">
        <v>101.03</v>
      </c>
      <c r="Q131" s="28">
        <f t="shared" ref="Q131:Q194" si="2">SUM(G131:P131)</f>
        <v>855.65000000000009</v>
      </c>
    </row>
    <row r="132" spans="1:17" ht="15" customHeight="1" x14ac:dyDescent="0.2">
      <c r="A132" s="1">
        <v>181</v>
      </c>
      <c r="B132" s="7" t="s">
        <v>16</v>
      </c>
      <c r="C132" s="7" t="s">
        <v>32</v>
      </c>
      <c r="D132" s="5"/>
      <c r="E132" s="7"/>
      <c r="F132" s="2" t="s">
        <v>9</v>
      </c>
      <c r="G132" s="3">
        <v>81928.88</v>
      </c>
      <c r="H132" s="3">
        <v>72674.960000000006</v>
      </c>
      <c r="I132" s="3">
        <v>82605.31</v>
      </c>
      <c r="J132" s="3">
        <v>68592.27</v>
      </c>
      <c r="K132" s="3">
        <v>81711.600000000006</v>
      </c>
      <c r="L132" s="3">
        <v>66086.06</v>
      </c>
      <c r="M132" s="3">
        <v>82354.73</v>
      </c>
      <c r="N132" s="8">
        <v>69807.73</v>
      </c>
      <c r="O132" s="3">
        <v>82150.13</v>
      </c>
      <c r="P132" s="8">
        <v>69290.255000000005</v>
      </c>
      <c r="Q132" s="28">
        <f t="shared" si="2"/>
        <v>757201.92500000005</v>
      </c>
    </row>
    <row r="133" spans="1:17" ht="15" customHeight="1" x14ac:dyDescent="0.2">
      <c r="A133" s="1">
        <v>182</v>
      </c>
      <c r="B133" s="7" t="s">
        <v>16</v>
      </c>
      <c r="C133" s="7" t="s">
        <v>32</v>
      </c>
      <c r="D133" s="5"/>
      <c r="E133" s="7"/>
      <c r="F133" s="2" t="s">
        <v>10</v>
      </c>
      <c r="G133" s="3">
        <v>404.3</v>
      </c>
      <c r="H133" s="3">
        <v>355.06</v>
      </c>
      <c r="I133" s="3">
        <v>359.32</v>
      </c>
      <c r="J133" s="3">
        <v>250.71</v>
      </c>
      <c r="K133" s="3">
        <v>463.58</v>
      </c>
      <c r="L133" s="3">
        <v>223.34</v>
      </c>
      <c r="M133" s="3">
        <v>0</v>
      </c>
      <c r="N133" s="8">
        <v>313.88</v>
      </c>
      <c r="O133" s="3">
        <v>306.8</v>
      </c>
      <c r="P133" s="8">
        <v>285.7475</v>
      </c>
      <c r="Q133" s="28">
        <f t="shared" si="2"/>
        <v>2962.7375000000002</v>
      </c>
    </row>
    <row r="134" spans="1:17" ht="15" customHeight="1" x14ac:dyDescent="0.2">
      <c r="A134" s="1">
        <v>184</v>
      </c>
      <c r="B134" s="7" t="s">
        <v>16</v>
      </c>
      <c r="C134" s="7" t="s">
        <v>32</v>
      </c>
      <c r="D134" s="7"/>
      <c r="E134" s="2" t="s">
        <v>11</v>
      </c>
      <c r="F134" s="2" t="s">
        <v>11</v>
      </c>
      <c r="G134" s="3">
        <v>4140.6899999999996</v>
      </c>
      <c r="H134" s="3">
        <v>17231.95</v>
      </c>
      <c r="I134" s="3">
        <v>2640.03</v>
      </c>
      <c r="J134" s="3">
        <v>19718.72</v>
      </c>
      <c r="K134" s="3">
        <v>2048.1799999999998</v>
      </c>
      <c r="L134" s="3">
        <v>21568.080000000002</v>
      </c>
      <c r="M134" s="3">
        <v>3579.61</v>
      </c>
      <c r="N134" s="8">
        <v>18433.54</v>
      </c>
      <c r="O134" s="3">
        <v>3102.1275000000001</v>
      </c>
      <c r="P134" s="8">
        <v>19238.072500000002</v>
      </c>
      <c r="Q134" s="28">
        <f t="shared" si="2"/>
        <v>111701</v>
      </c>
    </row>
    <row r="135" spans="1:17" ht="15" customHeight="1" x14ac:dyDescent="0.2">
      <c r="A135" s="1">
        <v>185</v>
      </c>
      <c r="B135" s="7" t="s">
        <v>16</v>
      </c>
      <c r="C135" s="7" t="s">
        <v>32</v>
      </c>
      <c r="D135" s="7"/>
      <c r="E135" s="2" t="s">
        <v>12</v>
      </c>
      <c r="F135" s="2" t="s">
        <v>12</v>
      </c>
      <c r="G135" s="3">
        <v>5558.42</v>
      </c>
      <c r="H135" s="3">
        <v>3161.53</v>
      </c>
      <c r="I135" s="3">
        <v>5222.87</v>
      </c>
      <c r="J135" s="3">
        <v>2381.66</v>
      </c>
      <c r="K135" s="3">
        <v>5382.05</v>
      </c>
      <c r="L135" s="3">
        <v>2622.12</v>
      </c>
      <c r="M135" s="3">
        <v>4768.83</v>
      </c>
      <c r="N135" s="8">
        <v>3018.08</v>
      </c>
      <c r="O135" s="3">
        <v>5233.0424999999996</v>
      </c>
      <c r="P135" s="8">
        <v>2795.8474999999999</v>
      </c>
      <c r="Q135" s="28">
        <f t="shared" si="2"/>
        <v>40144.449999999997</v>
      </c>
    </row>
    <row r="136" spans="1:17" ht="15" customHeight="1" x14ac:dyDescent="0.2">
      <c r="A136" s="1">
        <v>186</v>
      </c>
      <c r="B136" s="7" t="s">
        <v>16</v>
      </c>
      <c r="C136" s="7" t="s">
        <v>32</v>
      </c>
      <c r="D136" s="5"/>
      <c r="E136" s="2" t="s">
        <v>13</v>
      </c>
      <c r="F136" s="2" t="s">
        <v>13</v>
      </c>
      <c r="G136" s="3">
        <v>8440.7099999999991</v>
      </c>
      <c r="H136" s="3">
        <v>12576.16</v>
      </c>
      <c r="I136" s="3">
        <v>9337.1</v>
      </c>
      <c r="J136" s="3">
        <v>15172.27</v>
      </c>
      <c r="K136" s="3">
        <v>10565.58</v>
      </c>
      <c r="L136" s="3">
        <v>15316.29</v>
      </c>
      <c r="M136" s="3">
        <v>10184.76</v>
      </c>
      <c r="N136" s="8">
        <v>13750.58</v>
      </c>
      <c r="O136" s="3">
        <v>9632.0375000000004</v>
      </c>
      <c r="P136" s="8">
        <v>14203.825000000001</v>
      </c>
      <c r="Q136" s="28">
        <f t="shared" si="2"/>
        <v>119179.31250000001</v>
      </c>
    </row>
    <row r="137" spans="1:17" ht="15" customHeight="1" x14ac:dyDescent="0.2">
      <c r="A137" s="1">
        <v>187</v>
      </c>
      <c r="B137" s="7" t="s">
        <v>16</v>
      </c>
      <c r="C137" s="7" t="s">
        <v>32</v>
      </c>
      <c r="D137" s="5"/>
      <c r="E137" s="2" t="s">
        <v>14</v>
      </c>
      <c r="F137" s="2" t="s">
        <v>14</v>
      </c>
      <c r="G137" s="3">
        <v>5522.7</v>
      </c>
      <c r="H137" s="3">
        <v>6907.54</v>
      </c>
      <c r="I137" s="3">
        <v>5872.26</v>
      </c>
      <c r="J137" s="3">
        <v>6987.92</v>
      </c>
      <c r="K137" s="3">
        <v>6216.01</v>
      </c>
      <c r="L137" s="3">
        <v>7596.11</v>
      </c>
      <c r="M137" s="3">
        <v>5649.07</v>
      </c>
      <c r="N137" s="8">
        <v>8159.31</v>
      </c>
      <c r="O137" s="3">
        <v>5815.01</v>
      </c>
      <c r="P137" s="8">
        <v>7412.72</v>
      </c>
      <c r="Q137" s="28">
        <f t="shared" si="2"/>
        <v>66138.649999999994</v>
      </c>
    </row>
    <row r="138" spans="1:17" ht="15" customHeight="1" x14ac:dyDescent="0.2">
      <c r="A138" s="1">
        <v>188</v>
      </c>
      <c r="B138" s="7" t="s">
        <v>16</v>
      </c>
      <c r="C138" s="7" t="s">
        <v>33</v>
      </c>
      <c r="D138" s="26" t="s">
        <v>7</v>
      </c>
      <c r="E138" s="26"/>
      <c r="F138" s="2" t="s">
        <v>7</v>
      </c>
      <c r="G138" s="3">
        <v>270143</v>
      </c>
      <c r="H138" s="3">
        <v>283156</v>
      </c>
      <c r="I138" s="3">
        <v>271154</v>
      </c>
      <c r="J138" s="3">
        <v>284233</v>
      </c>
      <c r="K138" s="3">
        <v>272154</v>
      </c>
      <c r="L138" s="3">
        <v>285300</v>
      </c>
      <c r="M138" s="3">
        <v>273138</v>
      </c>
      <c r="N138" s="8">
        <v>286335</v>
      </c>
      <c r="O138" s="3">
        <v>271647.25</v>
      </c>
      <c r="P138" s="8">
        <v>284756</v>
      </c>
      <c r="Q138" s="28">
        <f t="shared" si="2"/>
        <v>2782016.25</v>
      </c>
    </row>
    <row r="139" spans="1:17" ht="15" customHeight="1" x14ac:dyDescent="0.2">
      <c r="A139" s="1">
        <v>190</v>
      </c>
      <c r="B139" s="7" t="s">
        <v>16</v>
      </c>
      <c r="C139" s="7" t="s">
        <v>33</v>
      </c>
      <c r="D139" s="5"/>
      <c r="E139" s="26" t="s">
        <v>8</v>
      </c>
      <c r="F139" s="2" t="s">
        <v>8</v>
      </c>
      <c r="G139" s="3">
        <v>2545.67</v>
      </c>
      <c r="H139" s="3">
        <v>1133.99</v>
      </c>
      <c r="I139" s="3">
        <v>7864.54</v>
      </c>
      <c r="J139" s="3">
        <v>2865.31</v>
      </c>
      <c r="K139" s="3">
        <v>751.26</v>
      </c>
      <c r="L139" s="3">
        <v>0</v>
      </c>
      <c r="M139" s="3">
        <v>1335.63</v>
      </c>
      <c r="N139" s="8">
        <v>297.95</v>
      </c>
      <c r="O139" s="3">
        <v>3124.2749999999996</v>
      </c>
      <c r="P139" s="8">
        <v>1074.3125</v>
      </c>
      <c r="Q139" s="28">
        <f t="shared" si="2"/>
        <v>20992.9375</v>
      </c>
    </row>
    <row r="140" spans="1:17" ht="15" customHeight="1" x14ac:dyDescent="0.2">
      <c r="A140" s="1">
        <v>192</v>
      </c>
      <c r="B140" s="7" t="s">
        <v>16</v>
      </c>
      <c r="C140" s="7" t="s">
        <v>33</v>
      </c>
      <c r="D140" s="7"/>
      <c r="E140" s="7"/>
      <c r="F140" s="2" t="s">
        <v>9</v>
      </c>
      <c r="G140" s="3">
        <v>198101.44</v>
      </c>
      <c r="H140" s="3">
        <v>167964.09</v>
      </c>
      <c r="I140" s="3">
        <v>197407.1</v>
      </c>
      <c r="J140" s="3">
        <v>152574.51</v>
      </c>
      <c r="K140" s="3">
        <v>207592.1</v>
      </c>
      <c r="L140" s="3">
        <v>159975.81</v>
      </c>
      <c r="M140" s="3">
        <v>208400.89</v>
      </c>
      <c r="N140" s="8">
        <v>169928.93</v>
      </c>
      <c r="O140" s="3">
        <v>202875.38250000001</v>
      </c>
      <c r="P140" s="8">
        <v>162610.83499999999</v>
      </c>
      <c r="Q140" s="28">
        <f t="shared" si="2"/>
        <v>1827431.0874999999</v>
      </c>
    </row>
    <row r="141" spans="1:17" ht="15" customHeight="1" x14ac:dyDescent="0.2">
      <c r="A141" s="1">
        <v>193</v>
      </c>
      <c r="B141" s="7" t="s">
        <v>16</v>
      </c>
      <c r="C141" s="7" t="s">
        <v>33</v>
      </c>
      <c r="D141" s="5"/>
      <c r="E141" s="7"/>
      <c r="F141" s="2" t="s">
        <v>10</v>
      </c>
      <c r="G141" s="3">
        <v>2475.75</v>
      </c>
      <c r="H141" s="3">
        <v>1905.75</v>
      </c>
      <c r="I141" s="3">
        <v>3388.49</v>
      </c>
      <c r="J141" s="3">
        <v>1255.48</v>
      </c>
      <c r="K141" s="3">
        <v>993.01</v>
      </c>
      <c r="L141" s="3">
        <v>1354.69</v>
      </c>
      <c r="M141" s="3">
        <v>1927.24</v>
      </c>
      <c r="N141" s="8">
        <v>1250.98</v>
      </c>
      <c r="O141" s="3">
        <v>2196.1224999999999</v>
      </c>
      <c r="P141" s="8">
        <v>1441.7249999999999</v>
      </c>
      <c r="Q141" s="28">
        <f t="shared" si="2"/>
        <v>18189.237499999999</v>
      </c>
    </row>
    <row r="142" spans="1:17" ht="15" customHeight="1" x14ac:dyDescent="0.2">
      <c r="A142" s="1">
        <v>195</v>
      </c>
      <c r="B142" s="7" t="s">
        <v>16</v>
      </c>
      <c r="C142" s="7" t="s">
        <v>33</v>
      </c>
      <c r="D142" s="5"/>
      <c r="E142" s="2" t="s">
        <v>11</v>
      </c>
      <c r="F142" s="2" t="s">
        <v>11</v>
      </c>
      <c r="G142" s="3">
        <v>5025.6099999999997</v>
      </c>
      <c r="H142" s="3">
        <v>58367.86</v>
      </c>
      <c r="I142" s="3">
        <v>4132.49</v>
      </c>
      <c r="J142" s="3">
        <v>67069.100000000006</v>
      </c>
      <c r="K142" s="3">
        <v>7570.1</v>
      </c>
      <c r="L142" s="3">
        <v>67891.58</v>
      </c>
      <c r="M142" s="3">
        <v>4556.68</v>
      </c>
      <c r="N142" s="8">
        <v>59009.75</v>
      </c>
      <c r="O142" s="3">
        <v>5321.2199999999993</v>
      </c>
      <c r="P142" s="8">
        <v>63084.572500000002</v>
      </c>
      <c r="Q142" s="28">
        <f t="shared" si="2"/>
        <v>342028.96249999997</v>
      </c>
    </row>
    <row r="143" spans="1:17" ht="15" customHeight="1" x14ac:dyDescent="0.2">
      <c r="A143" s="1">
        <v>196</v>
      </c>
      <c r="B143" s="7" t="s">
        <v>16</v>
      </c>
      <c r="C143" s="7" t="s">
        <v>33</v>
      </c>
      <c r="D143" s="5"/>
      <c r="E143" s="2" t="s">
        <v>12</v>
      </c>
      <c r="F143" s="2" t="s">
        <v>12</v>
      </c>
      <c r="G143" s="3">
        <v>23679.71</v>
      </c>
      <c r="H143" s="3">
        <v>6591.35</v>
      </c>
      <c r="I143" s="3">
        <v>19766.79</v>
      </c>
      <c r="J143" s="3">
        <v>14357.65</v>
      </c>
      <c r="K143" s="3">
        <v>17834.41</v>
      </c>
      <c r="L143" s="3">
        <v>8131.25</v>
      </c>
      <c r="M143" s="3">
        <v>16484.48</v>
      </c>
      <c r="N143" s="8">
        <v>7387.34</v>
      </c>
      <c r="O143" s="3">
        <v>19441.3475</v>
      </c>
      <c r="P143" s="8">
        <v>9116.8974999999991</v>
      </c>
      <c r="Q143" s="28">
        <f t="shared" si="2"/>
        <v>142791.22499999998</v>
      </c>
    </row>
    <row r="144" spans="1:17" ht="15" customHeight="1" x14ac:dyDescent="0.2">
      <c r="A144" s="1">
        <v>197</v>
      </c>
      <c r="B144" s="7" t="s">
        <v>16</v>
      </c>
      <c r="C144" s="7" t="s">
        <v>33</v>
      </c>
      <c r="D144" s="5"/>
      <c r="E144" s="2" t="s">
        <v>13</v>
      </c>
      <c r="F144" s="2" t="s">
        <v>13</v>
      </c>
      <c r="G144" s="3">
        <v>25746.73</v>
      </c>
      <c r="H144" s="3">
        <v>30100.880000000001</v>
      </c>
      <c r="I144" s="3">
        <v>24981.73</v>
      </c>
      <c r="J144" s="3">
        <v>31573.55</v>
      </c>
      <c r="K144" s="3">
        <v>21844.67</v>
      </c>
      <c r="L144" s="3">
        <v>32651.86</v>
      </c>
      <c r="M144" s="3">
        <v>26943.57</v>
      </c>
      <c r="N144" s="8">
        <v>30623.279999999999</v>
      </c>
      <c r="O144" s="3">
        <v>24879.175000000003</v>
      </c>
      <c r="P144" s="8">
        <v>31237.392500000002</v>
      </c>
      <c r="Q144" s="28">
        <f t="shared" si="2"/>
        <v>280582.83750000002</v>
      </c>
    </row>
    <row r="145" spans="1:17" ht="15" customHeight="1" x14ac:dyDescent="0.2">
      <c r="A145" s="1">
        <v>198</v>
      </c>
      <c r="B145" s="7" t="s">
        <v>16</v>
      </c>
      <c r="C145" s="7" t="s">
        <v>33</v>
      </c>
      <c r="D145" s="7"/>
      <c r="E145" s="2" t="s">
        <v>14</v>
      </c>
      <c r="F145" s="2" t="s">
        <v>14</v>
      </c>
      <c r="G145" s="3">
        <v>12568.08</v>
      </c>
      <c r="H145" s="3">
        <v>17092.07</v>
      </c>
      <c r="I145" s="3">
        <v>13612.87</v>
      </c>
      <c r="J145" s="3">
        <v>14537.39</v>
      </c>
      <c r="K145" s="3">
        <v>15568.46</v>
      </c>
      <c r="L145" s="3">
        <v>15294.79</v>
      </c>
      <c r="M145" s="3">
        <v>13489.5</v>
      </c>
      <c r="N145" s="8">
        <v>17836.78</v>
      </c>
      <c r="O145" s="3">
        <v>13809.727500000001</v>
      </c>
      <c r="P145" s="8">
        <v>16190.2575</v>
      </c>
      <c r="Q145" s="28">
        <f t="shared" si="2"/>
        <v>149999.92500000002</v>
      </c>
    </row>
    <row r="146" spans="1:17" ht="15" customHeight="1" x14ac:dyDescent="0.2">
      <c r="A146" s="1">
        <v>199</v>
      </c>
      <c r="B146" s="7" t="s">
        <v>16</v>
      </c>
      <c r="C146" s="7" t="s">
        <v>34</v>
      </c>
      <c r="D146" s="2" t="s">
        <v>7</v>
      </c>
      <c r="E146" s="2"/>
      <c r="F146" s="2" t="s">
        <v>7</v>
      </c>
      <c r="G146" s="3">
        <v>329040</v>
      </c>
      <c r="H146" s="3">
        <v>351832</v>
      </c>
      <c r="I146" s="3">
        <v>329326</v>
      </c>
      <c r="J146" s="3">
        <v>352031</v>
      </c>
      <c r="K146" s="3">
        <v>329594</v>
      </c>
      <c r="L146" s="3">
        <v>352224</v>
      </c>
      <c r="M146" s="3">
        <v>329830</v>
      </c>
      <c r="N146" s="8">
        <v>352360</v>
      </c>
      <c r="O146" s="3">
        <v>329447.5</v>
      </c>
      <c r="P146" s="8">
        <v>352111.75</v>
      </c>
      <c r="Q146" s="28">
        <f t="shared" si="2"/>
        <v>3407796.25</v>
      </c>
    </row>
    <row r="147" spans="1:17" ht="15" customHeight="1" x14ac:dyDescent="0.2">
      <c r="A147" s="1">
        <v>201</v>
      </c>
      <c r="B147" s="7" t="s">
        <v>16</v>
      </c>
      <c r="C147" s="7" t="s">
        <v>34</v>
      </c>
      <c r="D147" s="5"/>
      <c r="E147" s="2" t="s">
        <v>8</v>
      </c>
      <c r="F147" s="2" t="s">
        <v>8</v>
      </c>
      <c r="G147" s="3">
        <v>0</v>
      </c>
      <c r="H147" s="3">
        <v>0</v>
      </c>
      <c r="I147" s="3">
        <v>402.86</v>
      </c>
      <c r="J147" s="3">
        <v>0</v>
      </c>
      <c r="K147" s="3">
        <v>0</v>
      </c>
      <c r="L147" s="3">
        <v>0</v>
      </c>
      <c r="M147" s="3">
        <v>0</v>
      </c>
      <c r="N147" s="8">
        <v>0</v>
      </c>
      <c r="O147" s="3">
        <v>100.715</v>
      </c>
      <c r="P147" s="8">
        <v>0</v>
      </c>
      <c r="Q147" s="28">
        <f t="shared" si="2"/>
        <v>503.57500000000005</v>
      </c>
    </row>
    <row r="148" spans="1:17" ht="15" customHeight="1" x14ac:dyDescent="0.2">
      <c r="A148" s="1">
        <v>203</v>
      </c>
      <c r="B148" s="7" t="s">
        <v>16</v>
      </c>
      <c r="C148" s="7" t="s">
        <v>34</v>
      </c>
      <c r="D148" s="5"/>
      <c r="E148" s="7"/>
      <c r="F148" s="2" t="s">
        <v>9</v>
      </c>
      <c r="G148" s="3">
        <v>256470.57</v>
      </c>
      <c r="H148" s="3">
        <v>219406.26</v>
      </c>
      <c r="I148" s="3">
        <v>248228.03</v>
      </c>
      <c r="J148" s="3">
        <v>219191.72</v>
      </c>
      <c r="K148" s="3">
        <v>256163.79</v>
      </c>
      <c r="L148" s="3">
        <v>219666.94</v>
      </c>
      <c r="M148" s="3">
        <v>260395.47</v>
      </c>
      <c r="N148" s="8">
        <v>222632.09</v>
      </c>
      <c r="O148" s="3">
        <v>255314.465</v>
      </c>
      <c r="P148" s="8">
        <v>220224.25249999997</v>
      </c>
      <c r="Q148" s="28">
        <f t="shared" si="2"/>
        <v>2377693.5874999999</v>
      </c>
    </row>
    <row r="149" spans="1:17" ht="15" customHeight="1" x14ac:dyDescent="0.2">
      <c r="A149" s="1">
        <v>204</v>
      </c>
      <c r="B149" s="7" t="s">
        <v>16</v>
      </c>
      <c r="C149" s="7" t="s">
        <v>34</v>
      </c>
      <c r="D149" s="5"/>
      <c r="E149" s="5"/>
      <c r="F149" s="2" t="s">
        <v>10</v>
      </c>
      <c r="G149" s="3">
        <v>2016.21</v>
      </c>
      <c r="H149" s="3">
        <v>1832.36</v>
      </c>
      <c r="I149" s="3">
        <v>6153.86</v>
      </c>
      <c r="J149" s="3">
        <v>4150.96</v>
      </c>
      <c r="K149" s="3">
        <v>5542.74</v>
      </c>
      <c r="L149" s="3">
        <v>4063.9</v>
      </c>
      <c r="M149" s="3">
        <v>3556.63</v>
      </c>
      <c r="N149" s="8">
        <v>1208.3399999999999</v>
      </c>
      <c r="O149" s="3">
        <v>4317.3599999999997</v>
      </c>
      <c r="P149" s="8">
        <v>2813.89</v>
      </c>
      <c r="Q149" s="28">
        <f t="shared" si="2"/>
        <v>35656.25</v>
      </c>
    </row>
    <row r="150" spans="1:17" ht="15" customHeight="1" x14ac:dyDescent="0.2">
      <c r="A150" s="1">
        <v>206</v>
      </c>
      <c r="B150" s="7" t="s">
        <v>16</v>
      </c>
      <c r="C150" s="7" t="s">
        <v>34</v>
      </c>
      <c r="D150" s="5"/>
      <c r="E150" s="26" t="s">
        <v>11</v>
      </c>
      <c r="F150" s="2" t="s">
        <v>11</v>
      </c>
      <c r="G150" s="3">
        <v>4185.38</v>
      </c>
      <c r="H150" s="3">
        <v>45826.53</v>
      </c>
      <c r="I150" s="3">
        <v>3272.96</v>
      </c>
      <c r="J150" s="3">
        <v>41721.26</v>
      </c>
      <c r="K150" s="3">
        <v>3744.07</v>
      </c>
      <c r="L150" s="3">
        <v>45962.91</v>
      </c>
      <c r="M150" s="3">
        <v>3179.5</v>
      </c>
      <c r="N150" s="8">
        <v>41582.82</v>
      </c>
      <c r="O150" s="3">
        <v>3595.4775</v>
      </c>
      <c r="P150" s="8">
        <v>43773.380000000005</v>
      </c>
      <c r="Q150" s="28">
        <f t="shared" si="2"/>
        <v>236844.28750000003</v>
      </c>
    </row>
    <row r="151" spans="1:17" ht="15" customHeight="1" x14ac:dyDescent="0.2">
      <c r="A151" s="1">
        <v>207</v>
      </c>
      <c r="B151" s="7" t="s">
        <v>16</v>
      </c>
      <c r="C151" s="7" t="s">
        <v>34</v>
      </c>
      <c r="D151" s="7"/>
      <c r="E151" s="2" t="s">
        <v>12</v>
      </c>
      <c r="F151" s="2" t="s">
        <v>12</v>
      </c>
      <c r="G151" s="3">
        <v>12291.81</v>
      </c>
      <c r="H151" s="3">
        <v>10765.08</v>
      </c>
      <c r="I151" s="3">
        <v>13823.26</v>
      </c>
      <c r="J151" s="3">
        <v>7311.16</v>
      </c>
      <c r="K151" s="3">
        <v>10875.47</v>
      </c>
      <c r="L151" s="3">
        <v>7312.8</v>
      </c>
      <c r="M151" s="3">
        <v>9395.9500000000007</v>
      </c>
      <c r="N151" s="8">
        <v>8892.84</v>
      </c>
      <c r="O151" s="3">
        <v>11596.622500000001</v>
      </c>
      <c r="P151" s="8">
        <v>8570.4699999999993</v>
      </c>
      <c r="Q151" s="28">
        <f t="shared" si="2"/>
        <v>100835.46249999999</v>
      </c>
    </row>
    <row r="152" spans="1:17" ht="15" customHeight="1" x14ac:dyDescent="0.2">
      <c r="A152" s="1">
        <v>208</v>
      </c>
      <c r="B152" s="7" t="s">
        <v>16</v>
      </c>
      <c r="C152" s="7" t="s">
        <v>34</v>
      </c>
      <c r="D152" s="5"/>
      <c r="E152" s="2" t="s">
        <v>13</v>
      </c>
      <c r="F152" s="2" t="s">
        <v>13</v>
      </c>
      <c r="G152" s="3">
        <v>34688.339999999997</v>
      </c>
      <c r="H152" s="3">
        <v>49828.79</v>
      </c>
      <c r="I152" s="3">
        <v>38587.800000000003</v>
      </c>
      <c r="J152" s="3">
        <v>54744.27</v>
      </c>
      <c r="K152" s="3">
        <v>32786.76</v>
      </c>
      <c r="L152" s="3">
        <v>52402.14</v>
      </c>
      <c r="M152" s="3">
        <v>32560.639999999999</v>
      </c>
      <c r="N152" s="8">
        <v>53897.38</v>
      </c>
      <c r="O152" s="3">
        <v>34655.884999999995</v>
      </c>
      <c r="P152" s="8">
        <v>52718.145000000004</v>
      </c>
      <c r="Q152" s="28">
        <f t="shared" si="2"/>
        <v>436870.15000000008</v>
      </c>
    </row>
    <row r="153" spans="1:17" ht="15" customHeight="1" x14ac:dyDescent="0.2">
      <c r="A153" s="1">
        <v>209</v>
      </c>
      <c r="B153" s="7" t="s">
        <v>16</v>
      </c>
      <c r="C153" s="7" t="s">
        <v>34</v>
      </c>
      <c r="D153" s="5"/>
      <c r="E153" s="2" t="s">
        <v>14</v>
      </c>
      <c r="F153" s="2" t="s">
        <v>14</v>
      </c>
      <c r="G153" s="3">
        <v>19387.68</v>
      </c>
      <c r="H153" s="3">
        <v>24172.97</v>
      </c>
      <c r="I153" s="3">
        <v>18857.22</v>
      </c>
      <c r="J153" s="3">
        <v>24911.62</v>
      </c>
      <c r="K153" s="3">
        <v>20481.169999999998</v>
      </c>
      <c r="L153" s="3">
        <v>22815.31</v>
      </c>
      <c r="M153" s="3">
        <v>20741.810000000001</v>
      </c>
      <c r="N153" s="8">
        <v>24146.53</v>
      </c>
      <c r="O153" s="3">
        <v>19866.97</v>
      </c>
      <c r="P153" s="8">
        <v>24011.607499999998</v>
      </c>
      <c r="Q153" s="28">
        <f t="shared" si="2"/>
        <v>219392.88750000001</v>
      </c>
    </row>
    <row r="154" spans="1:17" ht="15" customHeight="1" x14ac:dyDescent="0.2">
      <c r="A154" s="1">
        <v>210</v>
      </c>
      <c r="B154" s="7" t="s">
        <v>16</v>
      </c>
      <c r="C154" s="7" t="s">
        <v>35</v>
      </c>
      <c r="D154" s="26" t="s">
        <v>7</v>
      </c>
      <c r="E154" s="2"/>
      <c r="F154" s="2" t="s">
        <v>7</v>
      </c>
      <c r="G154" s="3">
        <v>337171</v>
      </c>
      <c r="H154" s="3">
        <v>360636</v>
      </c>
      <c r="I154" s="3">
        <v>337518</v>
      </c>
      <c r="J154" s="3">
        <v>360899</v>
      </c>
      <c r="K154" s="3">
        <v>337837</v>
      </c>
      <c r="L154" s="3">
        <v>361139</v>
      </c>
      <c r="M154" s="3">
        <v>338116</v>
      </c>
      <c r="N154" s="8">
        <v>361325</v>
      </c>
      <c r="O154" s="3">
        <v>337660.5</v>
      </c>
      <c r="P154" s="8">
        <v>360999.75</v>
      </c>
      <c r="Q154" s="28">
        <f t="shared" si="2"/>
        <v>3493301.25</v>
      </c>
    </row>
    <row r="155" spans="1:17" ht="15" customHeight="1" x14ac:dyDescent="0.2">
      <c r="A155" s="1">
        <v>212</v>
      </c>
      <c r="B155" s="7" t="s">
        <v>16</v>
      </c>
      <c r="C155" s="7" t="s">
        <v>35</v>
      </c>
      <c r="D155" s="5"/>
      <c r="E155" s="2" t="s">
        <v>8</v>
      </c>
      <c r="F155" s="2" t="s">
        <v>8</v>
      </c>
      <c r="G155" s="3">
        <v>0</v>
      </c>
      <c r="H155" s="3">
        <v>190.47</v>
      </c>
      <c r="I155" s="3">
        <v>407.96</v>
      </c>
      <c r="J155" s="3">
        <v>0</v>
      </c>
      <c r="K155" s="3">
        <v>0</v>
      </c>
      <c r="L155" s="3">
        <v>226.19</v>
      </c>
      <c r="M155" s="3">
        <v>297.23</v>
      </c>
      <c r="N155" s="8">
        <v>0</v>
      </c>
      <c r="O155" s="3">
        <v>176.29750000000001</v>
      </c>
      <c r="P155" s="8">
        <v>104.16499999999999</v>
      </c>
      <c r="Q155" s="28">
        <f t="shared" si="2"/>
        <v>1402.3125</v>
      </c>
    </row>
    <row r="156" spans="1:17" ht="15" customHeight="1" x14ac:dyDescent="0.2">
      <c r="A156" s="1">
        <v>214</v>
      </c>
      <c r="B156" s="7" t="s">
        <v>16</v>
      </c>
      <c r="C156" s="7" t="s">
        <v>35</v>
      </c>
      <c r="D156" s="7"/>
      <c r="E156" s="7"/>
      <c r="F156" s="2" t="s">
        <v>9</v>
      </c>
      <c r="G156" s="3">
        <v>266655.23</v>
      </c>
      <c r="H156" s="3">
        <v>225147.61</v>
      </c>
      <c r="I156" s="3">
        <v>260728.8</v>
      </c>
      <c r="J156" s="3">
        <v>213807.41</v>
      </c>
      <c r="K156" s="3">
        <v>257496.9</v>
      </c>
      <c r="L156" s="3">
        <v>214459.81</v>
      </c>
      <c r="M156" s="3">
        <v>265334.78999999998</v>
      </c>
      <c r="N156" s="8">
        <v>228777.27</v>
      </c>
      <c r="O156" s="3">
        <v>262553.93</v>
      </c>
      <c r="P156" s="8">
        <v>220548.02500000002</v>
      </c>
      <c r="Q156" s="28">
        <f t="shared" si="2"/>
        <v>2415509.7749999999</v>
      </c>
    </row>
    <row r="157" spans="1:17" ht="15" customHeight="1" x14ac:dyDescent="0.2">
      <c r="A157" s="1">
        <v>215</v>
      </c>
      <c r="B157" s="7" t="s">
        <v>16</v>
      </c>
      <c r="C157" s="7" t="s">
        <v>35</v>
      </c>
      <c r="D157" s="7"/>
      <c r="E157" s="7"/>
      <c r="F157" s="2" t="s">
        <v>10</v>
      </c>
      <c r="G157" s="3">
        <v>3716.57</v>
      </c>
      <c r="H157" s="3">
        <v>3008.07</v>
      </c>
      <c r="I157" s="3">
        <v>1673.4</v>
      </c>
      <c r="J157" s="3">
        <v>1043.3599999999999</v>
      </c>
      <c r="K157" s="3">
        <v>2352.7800000000002</v>
      </c>
      <c r="L157" s="3">
        <v>1624.91</v>
      </c>
      <c r="M157" s="3">
        <v>1881.34</v>
      </c>
      <c r="N157" s="8">
        <v>675.66</v>
      </c>
      <c r="O157" s="3">
        <v>2406.0225</v>
      </c>
      <c r="P157" s="8">
        <v>1588</v>
      </c>
      <c r="Q157" s="28">
        <f t="shared" si="2"/>
        <v>19970.112500000003</v>
      </c>
    </row>
    <row r="158" spans="1:17" ht="15" customHeight="1" x14ac:dyDescent="0.2">
      <c r="A158" s="1">
        <v>217</v>
      </c>
      <c r="B158" s="7" t="s">
        <v>16</v>
      </c>
      <c r="C158" s="7" t="s">
        <v>35</v>
      </c>
      <c r="D158" s="5"/>
      <c r="E158" s="2" t="s">
        <v>11</v>
      </c>
      <c r="F158" s="2" t="s">
        <v>11</v>
      </c>
      <c r="G158" s="3">
        <v>3827.91</v>
      </c>
      <c r="H158" s="3">
        <v>50635.45</v>
      </c>
      <c r="I158" s="3">
        <v>3550.58</v>
      </c>
      <c r="J158" s="3">
        <v>58223.41</v>
      </c>
      <c r="K158" s="3">
        <v>4968.87</v>
      </c>
      <c r="L158" s="3">
        <v>58424.71</v>
      </c>
      <c r="M158" s="3">
        <v>3339.95</v>
      </c>
      <c r="N158" s="8">
        <v>53563.34</v>
      </c>
      <c r="O158" s="3">
        <v>3921.8275000000003</v>
      </c>
      <c r="P158" s="8">
        <v>55211.727500000001</v>
      </c>
      <c r="Q158" s="28">
        <f t="shared" si="2"/>
        <v>295667.77500000002</v>
      </c>
    </row>
    <row r="159" spans="1:17" ht="15" customHeight="1" x14ac:dyDescent="0.2">
      <c r="A159" s="1">
        <v>218</v>
      </c>
      <c r="B159" s="7" t="s">
        <v>16</v>
      </c>
      <c r="C159" s="7" t="s">
        <v>35</v>
      </c>
      <c r="D159" s="5"/>
      <c r="E159" s="2" t="s">
        <v>12</v>
      </c>
      <c r="F159" s="2" t="s">
        <v>12</v>
      </c>
      <c r="G159" s="3">
        <v>11331.65</v>
      </c>
      <c r="H159" s="3">
        <v>7911.51</v>
      </c>
      <c r="I159" s="3">
        <v>14320.21</v>
      </c>
      <c r="J159" s="3">
        <v>4754.95</v>
      </c>
      <c r="K159" s="3">
        <v>12171.7</v>
      </c>
      <c r="L159" s="3">
        <v>7554.84</v>
      </c>
      <c r="M159" s="3">
        <v>9963.36</v>
      </c>
      <c r="N159" s="8">
        <v>7205.13</v>
      </c>
      <c r="O159" s="3">
        <v>11946.73</v>
      </c>
      <c r="P159" s="8">
        <v>6856.6075000000001</v>
      </c>
      <c r="Q159" s="28">
        <f t="shared" si="2"/>
        <v>94016.687499999985</v>
      </c>
    </row>
    <row r="160" spans="1:17" ht="15" customHeight="1" x14ac:dyDescent="0.2">
      <c r="A160" s="1">
        <v>219</v>
      </c>
      <c r="B160" s="7" t="s">
        <v>16</v>
      </c>
      <c r="C160" s="7" t="s">
        <v>35</v>
      </c>
      <c r="D160" s="5"/>
      <c r="E160" s="26" t="s">
        <v>13</v>
      </c>
      <c r="F160" s="2" t="s">
        <v>13</v>
      </c>
      <c r="G160" s="3">
        <v>32539.51</v>
      </c>
      <c r="H160" s="3">
        <v>49135.07</v>
      </c>
      <c r="I160" s="3">
        <v>34615.919999999998</v>
      </c>
      <c r="J160" s="3">
        <v>56989.96</v>
      </c>
      <c r="K160" s="3">
        <v>37860.54</v>
      </c>
      <c r="L160" s="3">
        <v>53029.18</v>
      </c>
      <c r="M160" s="3">
        <v>36437.15</v>
      </c>
      <c r="N160" s="8">
        <v>49642.43</v>
      </c>
      <c r="O160" s="3">
        <v>35363.279999999999</v>
      </c>
      <c r="P160" s="8">
        <v>52199.159999999996</v>
      </c>
      <c r="Q160" s="28">
        <f t="shared" si="2"/>
        <v>437812.2</v>
      </c>
    </row>
    <row r="161" spans="1:17" ht="15" customHeight="1" x14ac:dyDescent="0.2">
      <c r="A161" s="1">
        <v>220</v>
      </c>
      <c r="B161" s="7" t="s">
        <v>16</v>
      </c>
      <c r="C161" s="7" t="s">
        <v>35</v>
      </c>
      <c r="D161" s="5"/>
      <c r="E161" s="26" t="s">
        <v>14</v>
      </c>
      <c r="F161" s="2" t="s">
        <v>14</v>
      </c>
      <c r="G161" s="3">
        <v>19100.14</v>
      </c>
      <c r="H161" s="3">
        <v>24607.81</v>
      </c>
      <c r="I161" s="3">
        <v>22221.13</v>
      </c>
      <c r="J161" s="3">
        <v>26079.9</v>
      </c>
      <c r="K161" s="3">
        <v>22986.22</v>
      </c>
      <c r="L161" s="3">
        <v>25819.360000000001</v>
      </c>
      <c r="M161" s="3">
        <v>20862.189999999999</v>
      </c>
      <c r="N161" s="8">
        <v>21461.17</v>
      </c>
      <c r="O161" s="3">
        <v>21292.420000000002</v>
      </c>
      <c r="P161" s="8">
        <v>24492.06</v>
      </c>
      <c r="Q161" s="28">
        <f t="shared" si="2"/>
        <v>228922.4</v>
      </c>
    </row>
    <row r="162" spans="1:17" ht="15" customHeight="1" x14ac:dyDescent="0.2">
      <c r="A162" s="1">
        <v>221</v>
      </c>
      <c r="B162" s="7" t="s">
        <v>16</v>
      </c>
      <c r="C162" s="7" t="s">
        <v>36</v>
      </c>
      <c r="D162" s="2" t="s">
        <v>7</v>
      </c>
      <c r="E162" s="2"/>
      <c r="F162" s="2" t="s">
        <v>7</v>
      </c>
      <c r="G162" s="3">
        <v>342829</v>
      </c>
      <c r="H162" s="3">
        <v>366942</v>
      </c>
      <c r="I162" s="3">
        <v>342953</v>
      </c>
      <c r="J162" s="3">
        <v>366973</v>
      </c>
      <c r="K162" s="3">
        <v>343061</v>
      </c>
      <c r="L162" s="3">
        <v>366989</v>
      </c>
      <c r="M162" s="3">
        <v>343138</v>
      </c>
      <c r="N162" s="8">
        <v>366955</v>
      </c>
      <c r="O162" s="3">
        <v>342995.25</v>
      </c>
      <c r="P162" s="8">
        <v>366964.75</v>
      </c>
      <c r="Q162" s="28">
        <f t="shared" si="2"/>
        <v>3549800</v>
      </c>
    </row>
    <row r="163" spans="1:17" ht="15" customHeight="1" x14ac:dyDescent="0.2">
      <c r="A163" s="1">
        <v>223</v>
      </c>
      <c r="B163" s="7" t="s">
        <v>16</v>
      </c>
      <c r="C163" s="7" t="s">
        <v>36</v>
      </c>
      <c r="D163" s="5"/>
      <c r="E163" s="2" t="s">
        <v>8</v>
      </c>
      <c r="F163" s="2" t="s">
        <v>8</v>
      </c>
      <c r="G163" s="3">
        <v>0</v>
      </c>
      <c r="H163" s="3">
        <v>0</v>
      </c>
      <c r="I163" s="3">
        <v>786.16</v>
      </c>
      <c r="J163" s="3">
        <v>529.70000000000005</v>
      </c>
      <c r="K163" s="3">
        <v>0</v>
      </c>
      <c r="L163" s="3">
        <v>0</v>
      </c>
      <c r="M163" s="3">
        <v>1697.92</v>
      </c>
      <c r="N163" s="8">
        <v>2176.37</v>
      </c>
      <c r="O163" s="3">
        <v>621.02</v>
      </c>
      <c r="P163" s="8">
        <v>676.51749999999993</v>
      </c>
      <c r="Q163" s="28">
        <f t="shared" si="2"/>
        <v>6487.6875</v>
      </c>
    </row>
    <row r="164" spans="1:17" ht="15" customHeight="1" x14ac:dyDescent="0.2">
      <c r="A164" s="1">
        <v>225</v>
      </c>
      <c r="B164" s="7" t="s">
        <v>16</v>
      </c>
      <c r="C164" s="7" t="s">
        <v>36</v>
      </c>
      <c r="D164" s="5"/>
      <c r="E164" s="7"/>
      <c r="F164" s="2" t="s">
        <v>9</v>
      </c>
      <c r="G164" s="3">
        <v>267857.34000000003</v>
      </c>
      <c r="H164" s="3">
        <v>220058.44</v>
      </c>
      <c r="I164" s="3">
        <v>265353.89</v>
      </c>
      <c r="J164" s="3">
        <v>216311.06</v>
      </c>
      <c r="K164" s="3">
        <v>264533.3</v>
      </c>
      <c r="L164" s="3">
        <v>215452.12</v>
      </c>
      <c r="M164" s="3">
        <v>271065.42</v>
      </c>
      <c r="N164" s="8">
        <v>218134.89</v>
      </c>
      <c r="O164" s="3">
        <v>267202.48749999999</v>
      </c>
      <c r="P164" s="8">
        <v>217489.1275</v>
      </c>
      <c r="Q164" s="28">
        <f t="shared" si="2"/>
        <v>2423458.0749999997</v>
      </c>
    </row>
    <row r="165" spans="1:17" ht="15" customHeight="1" x14ac:dyDescent="0.2">
      <c r="A165" s="1">
        <v>226</v>
      </c>
      <c r="B165" s="7" t="s">
        <v>16</v>
      </c>
      <c r="C165" s="7" t="s">
        <v>36</v>
      </c>
      <c r="D165" s="5"/>
      <c r="E165" s="7"/>
      <c r="F165" s="2" t="s">
        <v>10</v>
      </c>
      <c r="G165" s="3">
        <v>995.54</v>
      </c>
      <c r="H165" s="3">
        <v>1431.65</v>
      </c>
      <c r="I165" s="3">
        <v>1854.67</v>
      </c>
      <c r="J165" s="3">
        <v>2586.16</v>
      </c>
      <c r="K165" s="3">
        <v>1228.7</v>
      </c>
      <c r="L165" s="3">
        <v>1043.1600000000001</v>
      </c>
      <c r="M165" s="3">
        <v>608.28</v>
      </c>
      <c r="N165" s="8">
        <v>240.63</v>
      </c>
      <c r="O165" s="3">
        <v>1171.7974999999999</v>
      </c>
      <c r="P165" s="8">
        <v>1325.4</v>
      </c>
      <c r="Q165" s="28">
        <f t="shared" si="2"/>
        <v>12485.987500000001</v>
      </c>
    </row>
    <row r="166" spans="1:17" ht="15" customHeight="1" x14ac:dyDescent="0.2">
      <c r="A166" s="1">
        <v>228</v>
      </c>
      <c r="B166" s="7" t="s">
        <v>16</v>
      </c>
      <c r="C166" s="7" t="s">
        <v>36</v>
      </c>
      <c r="D166" s="5"/>
      <c r="E166" s="2" t="s">
        <v>11</v>
      </c>
      <c r="F166" s="2" t="s">
        <v>11</v>
      </c>
      <c r="G166" s="3">
        <v>3167.59</v>
      </c>
      <c r="H166" s="3">
        <v>50070.6</v>
      </c>
      <c r="I166" s="3">
        <v>2871.88</v>
      </c>
      <c r="J166" s="3">
        <v>49688.23</v>
      </c>
      <c r="K166" s="3">
        <v>5842.59</v>
      </c>
      <c r="L166" s="3">
        <v>47722.53</v>
      </c>
      <c r="M166" s="3">
        <v>3981.69</v>
      </c>
      <c r="N166" s="8">
        <v>47951.27</v>
      </c>
      <c r="O166" s="3">
        <v>3965.9375000000005</v>
      </c>
      <c r="P166" s="8">
        <v>48858.157499999994</v>
      </c>
      <c r="Q166" s="28">
        <f t="shared" si="2"/>
        <v>264120.47499999998</v>
      </c>
    </row>
    <row r="167" spans="1:17" ht="15" customHeight="1" x14ac:dyDescent="0.2">
      <c r="A167" s="1">
        <v>229</v>
      </c>
      <c r="B167" s="7" t="s">
        <v>16</v>
      </c>
      <c r="C167" s="7" t="s">
        <v>36</v>
      </c>
      <c r="D167" s="7"/>
      <c r="E167" s="2" t="s">
        <v>12</v>
      </c>
      <c r="F167" s="2" t="s">
        <v>12</v>
      </c>
      <c r="G167" s="3">
        <v>8947.94</v>
      </c>
      <c r="H167" s="3">
        <v>5284.87</v>
      </c>
      <c r="I167" s="3">
        <v>9724.36</v>
      </c>
      <c r="J167" s="3">
        <v>9003.0300000000007</v>
      </c>
      <c r="K167" s="3">
        <v>8867.8700000000008</v>
      </c>
      <c r="L167" s="3">
        <v>9472.93</v>
      </c>
      <c r="M167" s="3">
        <v>5313.84</v>
      </c>
      <c r="N167" s="8">
        <v>5179.8500000000004</v>
      </c>
      <c r="O167" s="3">
        <v>8213.5025000000023</v>
      </c>
      <c r="P167" s="8">
        <v>7235.17</v>
      </c>
      <c r="Q167" s="28">
        <f t="shared" si="2"/>
        <v>77243.362500000003</v>
      </c>
    </row>
    <row r="168" spans="1:17" ht="15" customHeight="1" x14ac:dyDescent="0.2">
      <c r="A168" s="1">
        <v>230</v>
      </c>
      <c r="B168" s="7" t="s">
        <v>16</v>
      </c>
      <c r="C168" s="7" t="s">
        <v>36</v>
      </c>
      <c r="D168" s="7"/>
      <c r="E168" s="2" t="s">
        <v>13</v>
      </c>
      <c r="F168" s="2" t="s">
        <v>13</v>
      </c>
      <c r="G168" s="3">
        <v>37801.279999999999</v>
      </c>
      <c r="H168" s="3">
        <v>60807.51</v>
      </c>
      <c r="I168" s="3">
        <v>37168.32</v>
      </c>
      <c r="J168" s="3">
        <v>62880.37</v>
      </c>
      <c r="K168" s="3">
        <v>35960.629999999997</v>
      </c>
      <c r="L168" s="3">
        <v>67891.460000000006</v>
      </c>
      <c r="M168" s="3">
        <v>35874.239999999998</v>
      </c>
      <c r="N168" s="8">
        <v>66692.67</v>
      </c>
      <c r="O168" s="3">
        <v>36701.1175</v>
      </c>
      <c r="P168" s="8">
        <v>64568.002500000002</v>
      </c>
      <c r="Q168" s="28">
        <f t="shared" si="2"/>
        <v>506345.6</v>
      </c>
    </row>
    <row r="169" spans="1:17" ht="15" customHeight="1" x14ac:dyDescent="0.2">
      <c r="A169" s="1">
        <v>231</v>
      </c>
      <c r="B169" s="7" t="s">
        <v>16</v>
      </c>
      <c r="C169" s="7" t="s">
        <v>36</v>
      </c>
      <c r="D169" s="5"/>
      <c r="E169" s="2" t="s">
        <v>14</v>
      </c>
      <c r="F169" s="2" t="s">
        <v>14</v>
      </c>
      <c r="G169" s="3">
        <v>24059.31</v>
      </c>
      <c r="H169" s="3">
        <v>29288.94</v>
      </c>
      <c r="I169" s="3">
        <v>25193.72</v>
      </c>
      <c r="J169" s="3">
        <v>25974.46</v>
      </c>
      <c r="K169" s="3">
        <v>26627.91</v>
      </c>
      <c r="L169" s="3">
        <v>25406.79</v>
      </c>
      <c r="M169" s="3">
        <v>24596.61</v>
      </c>
      <c r="N169" s="8">
        <v>26579.31</v>
      </c>
      <c r="O169" s="3">
        <v>25119.387500000001</v>
      </c>
      <c r="P169" s="8">
        <v>26812.375</v>
      </c>
      <c r="Q169" s="28">
        <f t="shared" si="2"/>
        <v>259658.8125</v>
      </c>
    </row>
    <row r="170" spans="1:17" ht="15" customHeight="1" x14ac:dyDescent="0.2">
      <c r="A170" s="1">
        <v>232</v>
      </c>
      <c r="B170" s="7" t="s">
        <v>16</v>
      </c>
      <c r="C170" s="7" t="s">
        <v>37</v>
      </c>
      <c r="D170" s="26" t="s">
        <v>7</v>
      </c>
      <c r="E170" s="2"/>
      <c r="F170" s="2" t="s">
        <v>7</v>
      </c>
      <c r="G170" s="3">
        <v>527054</v>
      </c>
      <c r="H170" s="3">
        <v>592082</v>
      </c>
      <c r="I170" s="3">
        <v>528771</v>
      </c>
      <c r="J170" s="3">
        <v>594237</v>
      </c>
      <c r="K170" s="3">
        <v>530481</v>
      </c>
      <c r="L170" s="3">
        <v>596389</v>
      </c>
      <c r="M170" s="3">
        <v>532155</v>
      </c>
      <c r="N170" s="8">
        <v>598486</v>
      </c>
      <c r="O170" s="3">
        <v>529615.25</v>
      </c>
      <c r="P170" s="8">
        <v>595298.5</v>
      </c>
      <c r="Q170" s="28">
        <f t="shared" si="2"/>
        <v>5624568.75</v>
      </c>
    </row>
    <row r="171" spans="1:17" ht="15" customHeight="1" x14ac:dyDescent="0.2">
      <c r="A171" s="1">
        <v>234</v>
      </c>
      <c r="B171" s="7" t="s">
        <v>16</v>
      </c>
      <c r="C171" s="7" t="s">
        <v>37</v>
      </c>
      <c r="D171" s="5"/>
      <c r="E171" s="26" t="s">
        <v>8</v>
      </c>
      <c r="F171" s="2" t="s">
        <v>8</v>
      </c>
      <c r="G171" s="3">
        <v>2384.4499999999998</v>
      </c>
      <c r="H171" s="3">
        <v>1166.6500000000001</v>
      </c>
      <c r="I171" s="3">
        <v>652.27</v>
      </c>
      <c r="J171" s="3">
        <v>0</v>
      </c>
      <c r="K171" s="3">
        <v>784.79</v>
      </c>
      <c r="L171" s="3">
        <v>0</v>
      </c>
      <c r="M171" s="3">
        <v>0</v>
      </c>
      <c r="N171" s="8">
        <v>0</v>
      </c>
      <c r="O171" s="3">
        <v>955.37749999999994</v>
      </c>
      <c r="P171" s="8">
        <v>291.66250000000002</v>
      </c>
      <c r="Q171" s="28">
        <f t="shared" si="2"/>
        <v>6235.2</v>
      </c>
    </row>
    <row r="172" spans="1:17" ht="15" customHeight="1" x14ac:dyDescent="0.2">
      <c r="A172" s="1">
        <v>236</v>
      </c>
      <c r="B172" s="7" t="s">
        <v>16</v>
      </c>
      <c r="C172" s="7" t="s">
        <v>37</v>
      </c>
      <c r="D172" s="5"/>
      <c r="E172" s="5"/>
      <c r="F172" s="2" t="s">
        <v>9</v>
      </c>
      <c r="G172" s="3">
        <v>435921.77</v>
      </c>
      <c r="H172" s="3">
        <v>410368.35</v>
      </c>
      <c r="I172" s="3">
        <v>439646.19</v>
      </c>
      <c r="J172" s="3">
        <v>415183.13</v>
      </c>
      <c r="K172" s="3">
        <v>434617.49</v>
      </c>
      <c r="L172" s="3">
        <v>423590.9</v>
      </c>
      <c r="M172" s="3">
        <v>439360.54</v>
      </c>
      <c r="N172" s="8">
        <v>426751.27</v>
      </c>
      <c r="O172" s="3">
        <v>437386.4975</v>
      </c>
      <c r="P172" s="8">
        <v>418973.41249999998</v>
      </c>
      <c r="Q172" s="28">
        <f t="shared" si="2"/>
        <v>4281799.55</v>
      </c>
    </row>
    <row r="173" spans="1:17" ht="15" customHeight="1" x14ac:dyDescent="0.2">
      <c r="A173" s="1">
        <v>237</v>
      </c>
      <c r="B173" s="7" t="s">
        <v>16</v>
      </c>
      <c r="C173" s="7" t="s">
        <v>37</v>
      </c>
      <c r="D173" s="7"/>
      <c r="E173" s="7"/>
      <c r="F173" s="2" t="s">
        <v>10</v>
      </c>
      <c r="G173" s="3">
        <v>3259.85</v>
      </c>
      <c r="H173" s="3">
        <v>3392.59</v>
      </c>
      <c r="I173" s="3">
        <v>1095.24</v>
      </c>
      <c r="J173" s="3">
        <v>4208.4799999999996</v>
      </c>
      <c r="K173" s="3">
        <v>303.45</v>
      </c>
      <c r="L173" s="3">
        <v>4393.6899999999996</v>
      </c>
      <c r="M173" s="3">
        <v>3999.2</v>
      </c>
      <c r="N173" s="8">
        <v>1572.31</v>
      </c>
      <c r="O173" s="3">
        <v>2164.4349999999999</v>
      </c>
      <c r="P173" s="8">
        <v>3391.7674999999995</v>
      </c>
      <c r="Q173" s="28">
        <f t="shared" si="2"/>
        <v>27781.012500000001</v>
      </c>
    </row>
    <row r="174" spans="1:17" ht="15" customHeight="1" x14ac:dyDescent="0.2">
      <c r="A174" s="1">
        <v>239</v>
      </c>
      <c r="B174" s="7" t="s">
        <v>16</v>
      </c>
      <c r="C174" s="7" t="s">
        <v>37</v>
      </c>
      <c r="D174" s="5"/>
      <c r="E174" s="2" t="s">
        <v>11</v>
      </c>
      <c r="F174" s="2" t="s">
        <v>11</v>
      </c>
      <c r="G174" s="3">
        <v>2846.38</v>
      </c>
      <c r="H174" s="3">
        <v>70497.31</v>
      </c>
      <c r="I174" s="3">
        <v>3173.58</v>
      </c>
      <c r="J174" s="3">
        <v>71570.899999999994</v>
      </c>
      <c r="K174" s="3">
        <v>5557.87</v>
      </c>
      <c r="L174" s="3">
        <v>67185.509999999995</v>
      </c>
      <c r="M174" s="3">
        <v>5816.66</v>
      </c>
      <c r="N174" s="8">
        <v>64896.67</v>
      </c>
      <c r="O174" s="3">
        <v>4348.6224999999995</v>
      </c>
      <c r="P174" s="8">
        <v>68537.597499999989</v>
      </c>
      <c r="Q174" s="28">
        <f t="shared" si="2"/>
        <v>364431.1</v>
      </c>
    </row>
    <row r="175" spans="1:17" ht="15" customHeight="1" x14ac:dyDescent="0.2">
      <c r="A175" s="1">
        <v>240</v>
      </c>
      <c r="B175" s="7" t="s">
        <v>16</v>
      </c>
      <c r="C175" s="7" t="s">
        <v>37</v>
      </c>
      <c r="D175" s="5"/>
      <c r="E175" s="2" t="s">
        <v>12</v>
      </c>
      <c r="F175" s="2" t="s">
        <v>12</v>
      </c>
      <c r="G175" s="3">
        <v>11156.64</v>
      </c>
      <c r="H175" s="3">
        <v>11888.72</v>
      </c>
      <c r="I175" s="3">
        <v>13273.36</v>
      </c>
      <c r="J175" s="3">
        <v>13530.35</v>
      </c>
      <c r="K175" s="3">
        <v>14494.41</v>
      </c>
      <c r="L175" s="3">
        <v>8715.76</v>
      </c>
      <c r="M175" s="3">
        <v>15752.33</v>
      </c>
      <c r="N175" s="8">
        <v>8836.25</v>
      </c>
      <c r="O175" s="3">
        <v>13669.185000000001</v>
      </c>
      <c r="P175" s="8">
        <v>10742.77</v>
      </c>
      <c r="Q175" s="28">
        <f t="shared" si="2"/>
        <v>122059.77499999999</v>
      </c>
    </row>
    <row r="176" spans="1:17" ht="15" customHeight="1" x14ac:dyDescent="0.2">
      <c r="A176" s="1">
        <v>241</v>
      </c>
      <c r="B176" s="7" t="s">
        <v>16</v>
      </c>
      <c r="C176" s="7" t="s">
        <v>37</v>
      </c>
      <c r="D176" s="5"/>
      <c r="E176" s="2" t="s">
        <v>13</v>
      </c>
      <c r="F176" s="2" t="s">
        <v>13</v>
      </c>
      <c r="G176" s="3">
        <v>32855.339999999997</v>
      </c>
      <c r="H176" s="3">
        <v>51405.68</v>
      </c>
      <c r="I176" s="3">
        <v>32808.22</v>
      </c>
      <c r="J176" s="3">
        <v>49105.03</v>
      </c>
      <c r="K176" s="3">
        <v>32730.38</v>
      </c>
      <c r="L176" s="3">
        <v>49646.68</v>
      </c>
      <c r="M176" s="3">
        <v>30401.38</v>
      </c>
      <c r="N176" s="8">
        <v>51835.87</v>
      </c>
      <c r="O176" s="3">
        <v>32198.83</v>
      </c>
      <c r="P176" s="8">
        <v>50498.314999999995</v>
      </c>
      <c r="Q176" s="28">
        <f t="shared" si="2"/>
        <v>413485.72499999998</v>
      </c>
    </row>
    <row r="177" spans="1:17" ht="15" customHeight="1" x14ac:dyDescent="0.2">
      <c r="A177" s="1">
        <v>242</v>
      </c>
      <c r="B177" s="7" t="s">
        <v>16</v>
      </c>
      <c r="C177" s="7" t="s">
        <v>37</v>
      </c>
      <c r="D177" s="5"/>
      <c r="E177" s="2" t="s">
        <v>14</v>
      </c>
      <c r="F177" s="2" t="s">
        <v>14</v>
      </c>
      <c r="G177" s="3">
        <v>38629.58</v>
      </c>
      <c r="H177" s="3">
        <v>43362.7</v>
      </c>
      <c r="I177" s="3">
        <v>38122.15</v>
      </c>
      <c r="J177" s="3">
        <v>40639.1</v>
      </c>
      <c r="K177" s="3">
        <v>41992.6</v>
      </c>
      <c r="L177" s="3">
        <v>42856.47</v>
      </c>
      <c r="M177" s="3">
        <v>36824.89</v>
      </c>
      <c r="N177" s="8">
        <v>44593.63</v>
      </c>
      <c r="O177" s="3">
        <v>38892.305000000008</v>
      </c>
      <c r="P177" s="8">
        <v>42862.974999999999</v>
      </c>
      <c r="Q177" s="28">
        <f t="shared" si="2"/>
        <v>408776.39999999997</v>
      </c>
    </row>
    <row r="178" spans="1:17" ht="15" customHeight="1" x14ac:dyDescent="0.2">
      <c r="A178" s="1">
        <v>243</v>
      </c>
      <c r="B178" s="7" t="s">
        <v>16</v>
      </c>
      <c r="C178" s="7" t="s">
        <v>38</v>
      </c>
      <c r="D178" s="2" t="s">
        <v>7</v>
      </c>
      <c r="E178" s="2"/>
      <c r="F178" s="2" t="s">
        <v>7</v>
      </c>
      <c r="G178" s="3">
        <v>468112</v>
      </c>
      <c r="H178" s="3">
        <v>525180</v>
      </c>
      <c r="I178" s="3">
        <v>469442</v>
      </c>
      <c r="J178" s="3">
        <v>526875</v>
      </c>
      <c r="K178" s="3">
        <v>470766</v>
      </c>
      <c r="L178" s="3">
        <v>528557</v>
      </c>
      <c r="M178" s="3">
        <v>472048</v>
      </c>
      <c r="N178" s="8">
        <v>530189</v>
      </c>
      <c r="O178" s="3">
        <v>470092</v>
      </c>
      <c r="P178" s="8">
        <v>527700.25</v>
      </c>
      <c r="Q178" s="28">
        <f t="shared" si="2"/>
        <v>4988961.25</v>
      </c>
    </row>
    <row r="179" spans="1:17" ht="15" customHeight="1" x14ac:dyDescent="0.2">
      <c r="A179" s="1">
        <v>245</v>
      </c>
      <c r="B179" s="7" t="s">
        <v>16</v>
      </c>
      <c r="C179" s="7" t="s">
        <v>38</v>
      </c>
      <c r="D179" s="7"/>
      <c r="E179" s="2" t="s">
        <v>8</v>
      </c>
      <c r="F179" s="2" t="s">
        <v>8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8">
        <v>0</v>
      </c>
      <c r="O179" s="3">
        <v>0</v>
      </c>
      <c r="P179" s="8">
        <v>0</v>
      </c>
      <c r="Q179" s="28">
        <f t="shared" si="2"/>
        <v>0</v>
      </c>
    </row>
    <row r="180" spans="1:17" ht="15" customHeight="1" x14ac:dyDescent="0.2">
      <c r="A180" s="1">
        <v>247</v>
      </c>
      <c r="B180" s="7" t="s">
        <v>16</v>
      </c>
      <c r="C180" s="7" t="s">
        <v>38</v>
      </c>
      <c r="D180" s="5"/>
      <c r="E180" s="7"/>
      <c r="F180" s="2" t="s">
        <v>9</v>
      </c>
      <c r="G180" s="3">
        <v>397794.05</v>
      </c>
      <c r="H180" s="3">
        <v>378934.67</v>
      </c>
      <c r="I180" s="3">
        <v>395590.81</v>
      </c>
      <c r="J180" s="3">
        <v>392489.5</v>
      </c>
      <c r="K180" s="3">
        <v>398131.11</v>
      </c>
      <c r="L180" s="3">
        <v>378074.61</v>
      </c>
      <c r="M180" s="3">
        <v>400895.99</v>
      </c>
      <c r="N180" s="8">
        <v>383271.29</v>
      </c>
      <c r="O180" s="3">
        <v>398102.99</v>
      </c>
      <c r="P180" s="8">
        <v>383192.51749999996</v>
      </c>
      <c r="Q180" s="28">
        <f t="shared" si="2"/>
        <v>3906477.5375000006</v>
      </c>
    </row>
    <row r="181" spans="1:17" ht="15" customHeight="1" x14ac:dyDescent="0.2">
      <c r="A181" s="1">
        <v>248</v>
      </c>
      <c r="B181" s="7" t="s">
        <v>16</v>
      </c>
      <c r="C181" s="7" t="s">
        <v>38</v>
      </c>
      <c r="D181" s="5"/>
      <c r="E181" s="7"/>
      <c r="F181" s="2" t="s">
        <v>10</v>
      </c>
      <c r="G181" s="3">
        <v>2270.87</v>
      </c>
      <c r="H181" s="3">
        <v>3338.95</v>
      </c>
      <c r="I181" s="3">
        <v>2869.84</v>
      </c>
      <c r="J181" s="3">
        <v>1754.57</v>
      </c>
      <c r="K181" s="3">
        <v>909.41</v>
      </c>
      <c r="L181" s="3">
        <v>4179.88</v>
      </c>
      <c r="M181" s="3">
        <v>1052.5899999999999</v>
      </c>
      <c r="N181" s="8">
        <v>1761.76</v>
      </c>
      <c r="O181" s="3">
        <v>1775.6775</v>
      </c>
      <c r="P181" s="8">
        <v>2758.79</v>
      </c>
      <c r="Q181" s="28">
        <f t="shared" si="2"/>
        <v>22672.337500000001</v>
      </c>
    </row>
    <row r="182" spans="1:17" ht="15" customHeight="1" x14ac:dyDescent="0.2">
      <c r="A182" s="1">
        <v>250</v>
      </c>
      <c r="B182" s="7" t="s">
        <v>16</v>
      </c>
      <c r="C182" s="7" t="s">
        <v>38</v>
      </c>
      <c r="D182" s="5"/>
      <c r="E182" s="26" t="s">
        <v>11</v>
      </c>
      <c r="F182" s="2" t="s">
        <v>11</v>
      </c>
      <c r="G182" s="3">
        <v>4814.1000000000004</v>
      </c>
      <c r="H182" s="3">
        <v>74059.839999999997</v>
      </c>
      <c r="I182" s="3">
        <v>6547.07</v>
      </c>
      <c r="J182" s="3">
        <v>64706.71</v>
      </c>
      <c r="K182" s="3">
        <v>10563.22</v>
      </c>
      <c r="L182" s="3">
        <v>67406.63</v>
      </c>
      <c r="M182" s="3">
        <v>6740.33</v>
      </c>
      <c r="N182" s="8">
        <v>72789.13</v>
      </c>
      <c r="O182" s="3">
        <v>7166.18</v>
      </c>
      <c r="P182" s="8">
        <v>69740.577499999999</v>
      </c>
      <c r="Q182" s="28">
        <f t="shared" si="2"/>
        <v>384533.78750000003</v>
      </c>
    </row>
    <row r="183" spans="1:17" ht="15" customHeight="1" x14ac:dyDescent="0.2">
      <c r="A183" s="1">
        <v>251</v>
      </c>
      <c r="B183" s="7" t="s">
        <v>16</v>
      </c>
      <c r="C183" s="7" t="s">
        <v>38</v>
      </c>
      <c r="D183" s="5"/>
      <c r="E183" s="26" t="s">
        <v>12</v>
      </c>
      <c r="F183" s="2" t="s">
        <v>12</v>
      </c>
      <c r="G183" s="3">
        <v>11223.88</v>
      </c>
      <c r="H183" s="3">
        <v>14996.34</v>
      </c>
      <c r="I183" s="3">
        <v>14379.28</v>
      </c>
      <c r="J183" s="3">
        <v>5195.8900000000003</v>
      </c>
      <c r="K183" s="3">
        <v>11385.46</v>
      </c>
      <c r="L183" s="3">
        <v>10807.07</v>
      </c>
      <c r="M183" s="3">
        <v>13490.25</v>
      </c>
      <c r="N183" s="8">
        <v>8485.82</v>
      </c>
      <c r="O183" s="3">
        <v>12619.717499999999</v>
      </c>
      <c r="P183" s="8">
        <v>9871.2799999999988</v>
      </c>
      <c r="Q183" s="28">
        <f t="shared" si="2"/>
        <v>112454.98749999999</v>
      </c>
    </row>
    <row r="184" spans="1:17" ht="15" customHeight="1" x14ac:dyDescent="0.2">
      <c r="A184" s="1">
        <v>252</v>
      </c>
      <c r="B184" s="7" t="s">
        <v>16</v>
      </c>
      <c r="C184" s="7" t="s">
        <v>38</v>
      </c>
      <c r="D184" s="7"/>
      <c r="E184" s="2" t="s">
        <v>13</v>
      </c>
      <c r="F184" s="2" t="s">
        <v>13</v>
      </c>
      <c r="G184" s="3">
        <v>30757.94</v>
      </c>
      <c r="H184" s="3">
        <v>30946.3</v>
      </c>
      <c r="I184" s="3">
        <v>28923.9</v>
      </c>
      <c r="J184" s="3">
        <v>37450.870000000003</v>
      </c>
      <c r="K184" s="3">
        <v>33829.629999999997</v>
      </c>
      <c r="L184" s="3">
        <v>39562.01</v>
      </c>
      <c r="M184" s="3">
        <v>32344.27</v>
      </c>
      <c r="N184" s="8">
        <v>39175.019999999997</v>
      </c>
      <c r="O184" s="3">
        <v>31463.935000000001</v>
      </c>
      <c r="P184" s="8">
        <v>36783.549999999996</v>
      </c>
      <c r="Q184" s="28">
        <f t="shared" si="2"/>
        <v>341237.42499999999</v>
      </c>
    </row>
    <row r="185" spans="1:17" ht="15" customHeight="1" x14ac:dyDescent="0.2">
      <c r="A185" s="1">
        <v>253</v>
      </c>
      <c r="B185" s="7" t="s">
        <v>16</v>
      </c>
      <c r="C185" s="7" t="s">
        <v>38</v>
      </c>
      <c r="D185" s="5"/>
      <c r="E185" s="2" t="s">
        <v>14</v>
      </c>
      <c r="F185" s="2" t="s">
        <v>14</v>
      </c>
      <c r="G185" s="3">
        <v>21251.16</v>
      </c>
      <c r="H185" s="3">
        <v>22903.9</v>
      </c>
      <c r="I185" s="3">
        <v>21131.1</v>
      </c>
      <c r="J185" s="3">
        <v>25277.46</v>
      </c>
      <c r="K185" s="3">
        <v>15947.16</v>
      </c>
      <c r="L185" s="3">
        <v>28526.81</v>
      </c>
      <c r="M185" s="3">
        <v>17524.57</v>
      </c>
      <c r="N185" s="8">
        <v>24705.97</v>
      </c>
      <c r="O185" s="3">
        <v>18963.497499999998</v>
      </c>
      <c r="P185" s="8">
        <v>25353.535</v>
      </c>
      <c r="Q185" s="28">
        <f t="shared" si="2"/>
        <v>221585.16250000001</v>
      </c>
    </row>
    <row r="186" spans="1:17" ht="15" customHeight="1" x14ac:dyDescent="0.2">
      <c r="A186" s="1">
        <v>254</v>
      </c>
      <c r="B186" s="7" t="s">
        <v>16</v>
      </c>
      <c r="C186" s="7" t="s">
        <v>39</v>
      </c>
      <c r="D186" s="26" t="s">
        <v>7</v>
      </c>
      <c r="E186" s="2"/>
      <c r="F186" s="2" t="s">
        <v>7</v>
      </c>
      <c r="G186" s="3">
        <v>71513</v>
      </c>
      <c r="H186" s="3">
        <v>76381</v>
      </c>
      <c r="I186" s="3">
        <v>71440</v>
      </c>
      <c r="J186" s="3">
        <v>76291</v>
      </c>
      <c r="K186" s="3">
        <v>71374</v>
      </c>
      <c r="L186" s="3">
        <v>76192</v>
      </c>
      <c r="M186" s="3">
        <v>71296</v>
      </c>
      <c r="N186" s="8">
        <v>76092</v>
      </c>
      <c r="O186" s="3">
        <v>71405.75</v>
      </c>
      <c r="P186" s="8">
        <v>76239</v>
      </c>
      <c r="Q186" s="28">
        <f t="shared" si="2"/>
        <v>738223.75</v>
      </c>
    </row>
    <row r="187" spans="1:17" ht="15" customHeight="1" x14ac:dyDescent="0.2">
      <c r="A187" s="1">
        <v>256</v>
      </c>
      <c r="B187" s="7" t="s">
        <v>16</v>
      </c>
      <c r="C187" s="7" t="s">
        <v>39</v>
      </c>
      <c r="D187" s="5"/>
      <c r="E187" s="2" t="s">
        <v>8</v>
      </c>
      <c r="F187" s="2" t="s">
        <v>8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8">
        <v>0</v>
      </c>
      <c r="O187" s="3">
        <v>0</v>
      </c>
      <c r="P187" s="8">
        <v>0</v>
      </c>
      <c r="Q187" s="28">
        <f t="shared" si="2"/>
        <v>0</v>
      </c>
    </row>
    <row r="188" spans="1:17" ht="15" customHeight="1" x14ac:dyDescent="0.2">
      <c r="A188" s="1">
        <v>258</v>
      </c>
      <c r="B188" s="7" t="s">
        <v>16</v>
      </c>
      <c r="C188" s="7" t="s">
        <v>39</v>
      </c>
      <c r="D188" s="5"/>
      <c r="E188" s="7"/>
      <c r="F188" s="2" t="s">
        <v>9</v>
      </c>
      <c r="G188" s="3">
        <v>55887.74</v>
      </c>
      <c r="H188" s="3">
        <v>45800.77</v>
      </c>
      <c r="I188" s="3">
        <v>55075.01</v>
      </c>
      <c r="J188" s="3">
        <v>45953.77</v>
      </c>
      <c r="K188" s="3">
        <v>55727.28</v>
      </c>
      <c r="L188" s="3">
        <v>45335.58</v>
      </c>
      <c r="M188" s="3">
        <v>56433.440000000002</v>
      </c>
      <c r="N188" s="8">
        <v>46335.9</v>
      </c>
      <c r="O188" s="3">
        <v>55780.8675</v>
      </c>
      <c r="P188" s="8">
        <v>45856.504999999997</v>
      </c>
      <c r="Q188" s="28">
        <f t="shared" si="2"/>
        <v>508186.86249999999</v>
      </c>
    </row>
    <row r="189" spans="1:17" ht="15" customHeight="1" x14ac:dyDescent="0.2">
      <c r="A189" s="1">
        <v>259</v>
      </c>
      <c r="B189" s="7" t="s">
        <v>16</v>
      </c>
      <c r="C189" s="7" t="s">
        <v>39</v>
      </c>
      <c r="D189" s="7"/>
      <c r="E189" s="7"/>
      <c r="F189" s="2" t="s">
        <v>10</v>
      </c>
      <c r="G189" s="3">
        <v>382.73</v>
      </c>
      <c r="H189" s="3">
        <v>117.98</v>
      </c>
      <c r="I189" s="3">
        <v>545.49</v>
      </c>
      <c r="J189" s="3">
        <v>349.04</v>
      </c>
      <c r="K189" s="3">
        <v>311.83999999999997</v>
      </c>
      <c r="L189" s="3">
        <v>182.06</v>
      </c>
      <c r="M189" s="3">
        <v>583.05999999999995</v>
      </c>
      <c r="N189" s="8">
        <v>225.13</v>
      </c>
      <c r="O189" s="3">
        <v>455.78</v>
      </c>
      <c r="P189" s="8">
        <v>218.55250000000001</v>
      </c>
      <c r="Q189" s="28">
        <f t="shared" si="2"/>
        <v>3371.6624999999995</v>
      </c>
    </row>
    <row r="190" spans="1:17" ht="15" customHeight="1" x14ac:dyDescent="0.2">
      <c r="A190" s="1">
        <v>261</v>
      </c>
      <c r="B190" s="7" t="s">
        <v>16</v>
      </c>
      <c r="C190" s="7" t="s">
        <v>39</v>
      </c>
      <c r="D190" s="7"/>
      <c r="E190" s="2" t="s">
        <v>11</v>
      </c>
      <c r="F190" s="2" t="s">
        <v>11</v>
      </c>
      <c r="G190" s="3">
        <v>1365.19</v>
      </c>
      <c r="H190" s="3">
        <v>12669.38</v>
      </c>
      <c r="I190" s="3">
        <v>1300.81</v>
      </c>
      <c r="J190" s="3">
        <v>13359.55</v>
      </c>
      <c r="K190" s="3">
        <v>1525.75</v>
      </c>
      <c r="L190" s="3">
        <v>15256.88</v>
      </c>
      <c r="M190" s="3">
        <v>1194.68</v>
      </c>
      <c r="N190" s="8">
        <v>13185.39</v>
      </c>
      <c r="O190" s="3">
        <v>1346.6075000000001</v>
      </c>
      <c r="P190" s="8">
        <v>13617.8</v>
      </c>
      <c r="Q190" s="28">
        <f t="shared" si="2"/>
        <v>74822.037499999991</v>
      </c>
    </row>
    <row r="191" spans="1:17" ht="15" customHeight="1" x14ac:dyDescent="0.2">
      <c r="A191" s="1">
        <v>262</v>
      </c>
      <c r="B191" s="7" t="s">
        <v>16</v>
      </c>
      <c r="C191" s="7" t="s">
        <v>39</v>
      </c>
      <c r="D191" s="5"/>
      <c r="E191" s="2" t="s">
        <v>12</v>
      </c>
      <c r="F191" s="2" t="s">
        <v>12</v>
      </c>
      <c r="G191" s="3">
        <v>1814</v>
      </c>
      <c r="H191" s="3">
        <v>2848.19</v>
      </c>
      <c r="I191" s="3">
        <v>2136.12</v>
      </c>
      <c r="J191" s="3">
        <v>1985.59</v>
      </c>
      <c r="K191" s="3">
        <v>2437.6</v>
      </c>
      <c r="L191" s="3">
        <v>2362.4299999999998</v>
      </c>
      <c r="M191" s="3">
        <v>2032.83</v>
      </c>
      <c r="N191" s="8">
        <v>2519.92</v>
      </c>
      <c r="O191" s="3">
        <v>2105.1374999999998</v>
      </c>
      <c r="P191" s="8">
        <v>2429.0324999999998</v>
      </c>
      <c r="Q191" s="28">
        <f t="shared" si="2"/>
        <v>22670.850000000002</v>
      </c>
    </row>
    <row r="192" spans="1:17" ht="15" customHeight="1" x14ac:dyDescent="0.2">
      <c r="A192" s="1">
        <v>263</v>
      </c>
      <c r="B192" s="7" t="s">
        <v>16</v>
      </c>
      <c r="C192" s="7" t="s">
        <v>39</v>
      </c>
      <c r="D192" s="5"/>
      <c r="E192" s="2" t="s">
        <v>13</v>
      </c>
      <c r="F192" s="2" t="s">
        <v>13</v>
      </c>
      <c r="G192" s="3">
        <v>7232.86</v>
      </c>
      <c r="H192" s="3">
        <v>8788.66</v>
      </c>
      <c r="I192" s="3">
        <v>7367.97</v>
      </c>
      <c r="J192" s="3">
        <v>8497.44</v>
      </c>
      <c r="K192" s="3">
        <v>6729.41</v>
      </c>
      <c r="L192" s="3">
        <v>8123.65</v>
      </c>
      <c r="M192" s="3">
        <v>7242</v>
      </c>
      <c r="N192" s="8">
        <v>8609.17</v>
      </c>
      <c r="O192" s="3">
        <v>7143.0599999999995</v>
      </c>
      <c r="P192" s="8">
        <v>8504.73</v>
      </c>
      <c r="Q192" s="28">
        <f t="shared" si="2"/>
        <v>78238.95</v>
      </c>
    </row>
    <row r="193" spans="1:17" ht="15" customHeight="1" x14ac:dyDescent="0.2">
      <c r="A193" s="1">
        <v>264</v>
      </c>
      <c r="B193" s="7" t="s">
        <v>16</v>
      </c>
      <c r="C193" s="7" t="s">
        <v>39</v>
      </c>
      <c r="D193" s="5"/>
      <c r="E193" s="26" t="s">
        <v>14</v>
      </c>
      <c r="F193" s="2" t="s">
        <v>14</v>
      </c>
      <c r="G193" s="3">
        <v>4830.4799999999996</v>
      </c>
      <c r="H193" s="3">
        <v>6156.01</v>
      </c>
      <c r="I193" s="3">
        <v>5014.6099999999997</v>
      </c>
      <c r="J193" s="3">
        <v>6145.62</v>
      </c>
      <c r="K193" s="3">
        <v>4642.13</v>
      </c>
      <c r="L193" s="3">
        <v>4931.3999999999996</v>
      </c>
      <c r="M193" s="3">
        <v>3809.99</v>
      </c>
      <c r="N193" s="8">
        <v>5216.49</v>
      </c>
      <c r="O193" s="3">
        <v>4574.3024999999998</v>
      </c>
      <c r="P193" s="8">
        <v>5612.3799999999992</v>
      </c>
      <c r="Q193" s="28">
        <f t="shared" si="2"/>
        <v>50933.412499999991</v>
      </c>
    </row>
    <row r="194" spans="1:17" ht="15" customHeight="1" x14ac:dyDescent="0.2">
      <c r="A194" s="1">
        <v>265</v>
      </c>
      <c r="B194" s="7" t="s">
        <v>16</v>
      </c>
      <c r="C194" s="7" t="s">
        <v>40</v>
      </c>
      <c r="D194" s="26" t="s">
        <v>7</v>
      </c>
      <c r="E194" s="26"/>
      <c r="F194" s="2" t="s">
        <v>7</v>
      </c>
      <c r="G194" s="3">
        <v>204256</v>
      </c>
      <c r="H194" s="3">
        <v>218321</v>
      </c>
      <c r="I194" s="3">
        <v>204494</v>
      </c>
      <c r="J194" s="3">
        <v>218515</v>
      </c>
      <c r="K194" s="3">
        <v>204715</v>
      </c>
      <c r="L194" s="3">
        <v>218694</v>
      </c>
      <c r="M194" s="3">
        <v>204915</v>
      </c>
      <c r="N194" s="8">
        <v>218843</v>
      </c>
      <c r="O194" s="3">
        <v>204595</v>
      </c>
      <c r="P194" s="8">
        <v>218593.25</v>
      </c>
      <c r="Q194" s="28">
        <f t="shared" si="2"/>
        <v>2115941.25</v>
      </c>
    </row>
    <row r="195" spans="1:17" ht="15" customHeight="1" x14ac:dyDescent="0.2">
      <c r="A195" s="1">
        <v>267</v>
      </c>
      <c r="B195" s="7" t="s">
        <v>16</v>
      </c>
      <c r="C195" s="7" t="s">
        <v>40</v>
      </c>
      <c r="D195" s="7"/>
      <c r="E195" s="2" t="s">
        <v>8</v>
      </c>
      <c r="F195" s="2" t="s">
        <v>8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8">
        <v>0</v>
      </c>
      <c r="O195" s="3">
        <v>0</v>
      </c>
      <c r="P195" s="8">
        <v>0</v>
      </c>
      <c r="Q195" s="28">
        <f t="shared" ref="Q195:Q258" si="3">SUM(G195:P195)</f>
        <v>0</v>
      </c>
    </row>
    <row r="196" spans="1:17" ht="15" customHeight="1" x14ac:dyDescent="0.2">
      <c r="A196" s="1">
        <v>269</v>
      </c>
      <c r="B196" s="7" t="s">
        <v>16</v>
      </c>
      <c r="C196" s="7" t="s">
        <v>40</v>
      </c>
      <c r="D196" s="5"/>
      <c r="E196" s="7"/>
      <c r="F196" s="2" t="s">
        <v>9</v>
      </c>
      <c r="G196" s="3">
        <v>155195.26999999999</v>
      </c>
      <c r="H196" s="3">
        <v>131767.84</v>
      </c>
      <c r="I196" s="3">
        <v>154609.14000000001</v>
      </c>
      <c r="J196" s="3">
        <v>135339.21</v>
      </c>
      <c r="K196" s="3">
        <v>158428.07999999999</v>
      </c>
      <c r="L196" s="3">
        <v>134839.75</v>
      </c>
      <c r="M196" s="3">
        <v>160047.29999999999</v>
      </c>
      <c r="N196" s="8">
        <v>131963.87</v>
      </c>
      <c r="O196" s="3">
        <v>157069.94750000001</v>
      </c>
      <c r="P196" s="8">
        <v>133477.66749999998</v>
      </c>
      <c r="Q196" s="28">
        <f t="shared" si="3"/>
        <v>1452738.075</v>
      </c>
    </row>
    <row r="197" spans="1:17" ht="15" customHeight="1" x14ac:dyDescent="0.2">
      <c r="A197" s="1">
        <v>270</v>
      </c>
      <c r="B197" s="7" t="s">
        <v>16</v>
      </c>
      <c r="C197" s="7" t="s">
        <v>40</v>
      </c>
      <c r="D197" s="5"/>
      <c r="E197" s="7"/>
      <c r="F197" s="2" t="s">
        <v>10</v>
      </c>
      <c r="G197" s="3">
        <v>1125.3</v>
      </c>
      <c r="H197" s="3">
        <v>205.07</v>
      </c>
      <c r="I197" s="3">
        <v>1757.91</v>
      </c>
      <c r="J197" s="3">
        <v>1365.01</v>
      </c>
      <c r="K197" s="3">
        <v>1326.66</v>
      </c>
      <c r="L197" s="3">
        <v>844.16</v>
      </c>
      <c r="M197" s="3">
        <v>0</v>
      </c>
      <c r="N197" s="8">
        <v>385.69</v>
      </c>
      <c r="O197" s="3">
        <v>1052.4675</v>
      </c>
      <c r="P197" s="8">
        <v>699.98249999999996</v>
      </c>
      <c r="Q197" s="28">
        <f t="shared" si="3"/>
        <v>8762.2499999999982</v>
      </c>
    </row>
    <row r="198" spans="1:17" ht="15" customHeight="1" x14ac:dyDescent="0.2">
      <c r="A198" s="1">
        <v>272</v>
      </c>
      <c r="B198" s="7" t="s">
        <v>16</v>
      </c>
      <c r="C198" s="7" t="s">
        <v>40</v>
      </c>
      <c r="D198" s="5"/>
      <c r="E198" s="2" t="s">
        <v>11</v>
      </c>
      <c r="F198" s="2" t="s">
        <v>11</v>
      </c>
      <c r="G198" s="3">
        <v>5146.5</v>
      </c>
      <c r="H198" s="3">
        <v>27835.59</v>
      </c>
      <c r="I198" s="3">
        <v>4277.6499999999996</v>
      </c>
      <c r="J198" s="3">
        <v>27270.28</v>
      </c>
      <c r="K198" s="3">
        <v>3550.26</v>
      </c>
      <c r="L198" s="3">
        <v>27083.46</v>
      </c>
      <c r="M198" s="3">
        <v>3570.99</v>
      </c>
      <c r="N198" s="8">
        <v>27519.8</v>
      </c>
      <c r="O198" s="3">
        <v>4136.3500000000004</v>
      </c>
      <c r="P198" s="8">
        <v>27427.282499999998</v>
      </c>
      <c r="Q198" s="28">
        <f t="shared" si="3"/>
        <v>157818.16250000001</v>
      </c>
    </row>
    <row r="199" spans="1:17" ht="15" customHeight="1" x14ac:dyDescent="0.2">
      <c r="A199" s="1">
        <v>273</v>
      </c>
      <c r="B199" s="7" t="s">
        <v>16</v>
      </c>
      <c r="C199" s="7" t="s">
        <v>40</v>
      </c>
      <c r="D199" s="5"/>
      <c r="E199" s="2" t="s">
        <v>12</v>
      </c>
      <c r="F199" s="2" t="s">
        <v>12</v>
      </c>
      <c r="G199" s="3">
        <v>8879.64</v>
      </c>
      <c r="H199" s="3">
        <v>6693.9</v>
      </c>
      <c r="I199" s="3">
        <v>8260.08</v>
      </c>
      <c r="J199" s="3">
        <v>4635.72</v>
      </c>
      <c r="K199" s="3">
        <v>6739.92</v>
      </c>
      <c r="L199" s="3">
        <v>4985.1400000000003</v>
      </c>
      <c r="M199" s="3">
        <v>8469.5</v>
      </c>
      <c r="N199" s="8">
        <v>7324.51</v>
      </c>
      <c r="O199" s="3">
        <v>8087.2849999999999</v>
      </c>
      <c r="P199" s="8">
        <v>5909.8174999999992</v>
      </c>
      <c r="Q199" s="28">
        <f t="shared" si="3"/>
        <v>69985.512500000012</v>
      </c>
    </row>
    <row r="200" spans="1:17" ht="15" customHeight="1" x14ac:dyDescent="0.2">
      <c r="A200" s="1">
        <v>274</v>
      </c>
      <c r="B200" s="7" t="s">
        <v>16</v>
      </c>
      <c r="C200" s="7" t="s">
        <v>40</v>
      </c>
      <c r="D200" s="7"/>
      <c r="E200" s="2" t="s">
        <v>13</v>
      </c>
      <c r="F200" s="2" t="s">
        <v>13</v>
      </c>
      <c r="G200" s="3">
        <v>17763.71</v>
      </c>
      <c r="H200" s="3">
        <v>32800.86</v>
      </c>
      <c r="I200" s="3">
        <v>21525.7</v>
      </c>
      <c r="J200" s="3">
        <v>33226.75</v>
      </c>
      <c r="K200" s="3">
        <v>21139.95</v>
      </c>
      <c r="L200" s="3">
        <v>31981.86</v>
      </c>
      <c r="M200" s="3">
        <v>18081.740000000002</v>
      </c>
      <c r="N200" s="8">
        <v>33387.14</v>
      </c>
      <c r="O200" s="3">
        <v>19627.775000000001</v>
      </c>
      <c r="P200" s="8">
        <v>32849.152499999997</v>
      </c>
      <c r="Q200" s="28">
        <f t="shared" si="3"/>
        <v>262384.63750000001</v>
      </c>
    </row>
    <row r="201" spans="1:17" ht="15" customHeight="1" x14ac:dyDescent="0.2">
      <c r="A201" s="1">
        <v>275</v>
      </c>
      <c r="B201" s="7" t="s">
        <v>16</v>
      </c>
      <c r="C201" s="7" t="s">
        <v>40</v>
      </c>
      <c r="D201" s="7"/>
      <c r="E201" s="2" t="s">
        <v>14</v>
      </c>
      <c r="F201" s="2" t="s">
        <v>14</v>
      </c>
      <c r="G201" s="3">
        <v>16145.58</v>
      </c>
      <c r="H201" s="3">
        <v>19017.740000000002</v>
      </c>
      <c r="I201" s="3">
        <v>14063.51</v>
      </c>
      <c r="J201" s="3">
        <v>16678.02</v>
      </c>
      <c r="K201" s="3">
        <v>13530.13</v>
      </c>
      <c r="L201" s="3">
        <v>18959.63</v>
      </c>
      <c r="M201" s="3">
        <v>14745.47</v>
      </c>
      <c r="N201" s="8">
        <v>18262</v>
      </c>
      <c r="O201" s="3">
        <v>14621.172500000001</v>
      </c>
      <c r="P201" s="8">
        <v>18229.3475</v>
      </c>
      <c r="Q201" s="28">
        <f t="shared" si="3"/>
        <v>164252.6</v>
      </c>
    </row>
    <row r="202" spans="1:17" ht="15" customHeight="1" x14ac:dyDescent="0.2">
      <c r="A202" s="1">
        <v>276</v>
      </c>
      <c r="B202" s="7" t="s">
        <v>16</v>
      </c>
      <c r="C202" s="7" t="s">
        <v>41</v>
      </c>
      <c r="D202" s="26" t="s">
        <v>7</v>
      </c>
      <c r="E202" s="2"/>
      <c r="F202" s="2" t="s">
        <v>7</v>
      </c>
      <c r="G202" s="3">
        <v>196790</v>
      </c>
      <c r="H202" s="3">
        <v>209862</v>
      </c>
      <c r="I202" s="3">
        <v>196899</v>
      </c>
      <c r="J202" s="3">
        <v>209920</v>
      </c>
      <c r="K202" s="3">
        <v>196999</v>
      </c>
      <c r="L202" s="3">
        <v>209973.01</v>
      </c>
      <c r="M202" s="3">
        <v>197080</v>
      </c>
      <c r="N202" s="8">
        <v>209993</v>
      </c>
      <c r="O202" s="3">
        <v>196942</v>
      </c>
      <c r="P202" s="8">
        <v>209937.0025</v>
      </c>
      <c r="Q202" s="28">
        <f t="shared" si="3"/>
        <v>2034395.0125</v>
      </c>
    </row>
    <row r="203" spans="1:17" ht="15" customHeight="1" x14ac:dyDescent="0.2">
      <c r="A203" s="1">
        <v>278</v>
      </c>
      <c r="B203" s="7" t="s">
        <v>16</v>
      </c>
      <c r="C203" s="7" t="s">
        <v>41</v>
      </c>
      <c r="D203" s="5"/>
      <c r="E203" s="2" t="s">
        <v>8</v>
      </c>
      <c r="F203" s="2" t="s">
        <v>8</v>
      </c>
      <c r="G203" s="3">
        <v>115.89</v>
      </c>
      <c r="H203" s="3">
        <v>267.10000000000002</v>
      </c>
      <c r="I203" s="3">
        <v>0</v>
      </c>
      <c r="J203" s="3">
        <v>0</v>
      </c>
      <c r="K203" s="3">
        <v>0</v>
      </c>
      <c r="L203" s="3">
        <v>0</v>
      </c>
      <c r="M203" s="3">
        <v>272.23</v>
      </c>
      <c r="N203" s="8">
        <v>0</v>
      </c>
      <c r="O203" s="3">
        <v>97.03</v>
      </c>
      <c r="P203" s="8">
        <v>66.775000000000006</v>
      </c>
      <c r="Q203" s="28">
        <f t="shared" si="3"/>
        <v>819.02499999999998</v>
      </c>
    </row>
    <row r="204" spans="1:17" ht="15" customHeight="1" x14ac:dyDescent="0.2">
      <c r="A204" s="1">
        <v>280</v>
      </c>
      <c r="B204" s="7" t="s">
        <v>16</v>
      </c>
      <c r="C204" s="7" t="s">
        <v>41</v>
      </c>
      <c r="D204" s="5"/>
      <c r="E204" s="5"/>
      <c r="F204" s="2" t="s">
        <v>9</v>
      </c>
      <c r="G204" s="3">
        <v>149492.07</v>
      </c>
      <c r="H204" s="3">
        <v>127165.87</v>
      </c>
      <c r="I204" s="3">
        <v>148397.67000000001</v>
      </c>
      <c r="J204" s="3">
        <v>123971.43</v>
      </c>
      <c r="K204" s="3">
        <v>149439.66</v>
      </c>
      <c r="L204" s="3">
        <v>132131.47</v>
      </c>
      <c r="M204" s="3">
        <v>148319.35</v>
      </c>
      <c r="N204" s="8">
        <v>122330.15</v>
      </c>
      <c r="O204" s="3">
        <v>148912.1875</v>
      </c>
      <c r="P204" s="8">
        <v>126399.73000000001</v>
      </c>
      <c r="Q204" s="28">
        <f t="shared" si="3"/>
        <v>1376559.5874999999</v>
      </c>
    </row>
    <row r="205" spans="1:17" ht="15" customHeight="1" x14ac:dyDescent="0.2">
      <c r="A205" s="1">
        <v>281</v>
      </c>
      <c r="B205" s="7" t="s">
        <v>16</v>
      </c>
      <c r="C205" s="7" t="s">
        <v>41</v>
      </c>
      <c r="D205" s="5"/>
      <c r="E205" s="5"/>
      <c r="F205" s="2" t="s">
        <v>10</v>
      </c>
      <c r="G205" s="3">
        <v>758.65</v>
      </c>
      <c r="H205" s="3">
        <v>827.16</v>
      </c>
      <c r="I205" s="3">
        <v>1028.3399999999999</v>
      </c>
      <c r="J205" s="3">
        <v>1211.25</v>
      </c>
      <c r="K205" s="3">
        <v>550.72</v>
      </c>
      <c r="L205" s="3">
        <v>629.51</v>
      </c>
      <c r="M205" s="3">
        <v>1011.48</v>
      </c>
      <c r="N205" s="8">
        <v>1051.1500000000001</v>
      </c>
      <c r="O205" s="3">
        <v>837.29750000000001</v>
      </c>
      <c r="P205" s="8">
        <v>929.76750000000004</v>
      </c>
      <c r="Q205" s="28">
        <f t="shared" si="3"/>
        <v>8835.3250000000007</v>
      </c>
    </row>
    <row r="206" spans="1:17" ht="15" customHeight="1" x14ac:dyDescent="0.2">
      <c r="A206" s="1">
        <v>283</v>
      </c>
      <c r="B206" s="7" t="s">
        <v>16</v>
      </c>
      <c r="C206" s="7" t="s">
        <v>41</v>
      </c>
      <c r="D206" s="7"/>
      <c r="E206" s="2" t="s">
        <v>11</v>
      </c>
      <c r="F206" s="2" t="s">
        <v>11</v>
      </c>
      <c r="G206" s="3">
        <v>2379.4499999999998</v>
      </c>
      <c r="H206" s="3">
        <v>38213.53</v>
      </c>
      <c r="I206" s="3">
        <v>2122.1999999999998</v>
      </c>
      <c r="J206" s="3">
        <v>34721.74</v>
      </c>
      <c r="K206" s="3">
        <v>2912.88</v>
      </c>
      <c r="L206" s="3">
        <v>29673.51</v>
      </c>
      <c r="M206" s="3">
        <v>3300.73</v>
      </c>
      <c r="N206" s="8">
        <v>42679.19</v>
      </c>
      <c r="O206" s="3">
        <v>2678.8150000000001</v>
      </c>
      <c r="P206" s="8">
        <v>36321.992499999993</v>
      </c>
      <c r="Q206" s="28">
        <f t="shared" si="3"/>
        <v>195004.03749999998</v>
      </c>
    </row>
    <row r="207" spans="1:17" ht="15" customHeight="1" x14ac:dyDescent="0.2">
      <c r="A207" s="1">
        <v>284</v>
      </c>
      <c r="B207" s="7" t="s">
        <v>16</v>
      </c>
      <c r="C207" s="7" t="s">
        <v>41</v>
      </c>
      <c r="D207" s="5"/>
      <c r="E207" s="2" t="s">
        <v>12</v>
      </c>
      <c r="F207" s="2" t="s">
        <v>12</v>
      </c>
      <c r="G207" s="3">
        <v>12175.38</v>
      </c>
      <c r="H207" s="3">
        <v>7060.51</v>
      </c>
      <c r="I207" s="3">
        <v>12120</v>
      </c>
      <c r="J207" s="3">
        <v>8478.26</v>
      </c>
      <c r="K207" s="3">
        <v>11365.57</v>
      </c>
      <c r="L207" s="3">
        <v>6073.27</v>
      </c>
      <c r="M207" s="3">
        <v>12906.59</v>
      </c>
      <c r="N207" s="8">
        <v>4251.68</v>
      </c>
      <c r="O207" s="3">
        <v>12141.884999999998</v>
      </c>
      <c r="P207" s="8">
        <v>6465.93</v>
      </c>
      <c r="Q207" s="28">
        <f t="shared" si="3"/>
        <v>93039.075000000012</v>
      </c>
    </row>
    <row r="208" spans="1:17" ht="15" customHeight="1" x14ac:dyDescent="0.2">
      <c r="A208" s="1">
        <v>285</v>
      </c>
      <c r="B208" s="7" t="s">
        <v>16</v>
      </c>
      <c r="C208" s="7" t="s">
        <v>41</v>
      </c>
      <c r="D208" s="5"/>
      <c r="E208" s="2" t="s">
        <v>13</v>
      </c>
      <c r="F208" s="2" t="s">
        <v>13</v>
      </c>
      <c r="G208" s="3">
        <v>18005.88</v>
      </c>
      <c r="H208" s="3">
        <v>22867.46</v>
      </c>
      <c r="I208" s="3">
        <v>18574.23</v>
      </c>
      <c r="J208" s="3">
        <v>27077.22</v>
      </c>
      <c r="K208" s="3">
        <v>19249.439999999999</v>
      </c>
      <c r="L208" s="3">
        <v>26545.13</v>
      </c>
      <c r="M208" s="3">
        <v>16966.46</v>
      </c>
      <c r="N208" s="8">
        <v>24124.28</v>
      </c>
      <c r="O208" s="3">
        <v>18199.002500000002</v>
      </c>
      <c r="P208" s="8">
        <v>25153.522499999999</v>
      </c>
      <c r="Q208" s="28">
        <f t="shared" si="3"/>
        <v>216762.62499999997</v>
      </c>
    </row>
    <row r="209" spans="1:17" ht="15" customHeight="1" x14ac:dyDescent="0.2">
      <c r="A209" s="1">
        <v>286</v>
      </c>
      <c r="B209" s="7" t="s">
        <v>16</v>
      </c>
      <c r="C209" s="7" t="s">
        <v>41</v>
      </c>
      <c r="D209" s="5"/>
      <c r="E209" s="2" t="s">
        <v>14</v>
      </c>
      <c r="F209" s="2" t="s">
        <v>14</v>
      </c>
      <c r="G209" s="3">
        <v>13862.68</v>
      </c>
      <c r="H209" s="3">
        <v>13460.37</v>
      </c>
      <c r="I209" s="3">
        <v>14656.55</v>
      </c>
      <c r="J209" s="3">
        <v>14460.1</v>
      </c>
      <c r="K209" s="3">
        <v>13480.73</v>
      </c>
      <c r="L209" s="3">
        <v>14920.12</v>
      </c>
      <c r="M209" s="3">
        <v>14303.16</v>
      </c>
      <c r="N209" s="8">
        <v>15556.55</v>
      </c>
      <c r="O209" s="3">
        <v>14075.779999999999</v>
      </c>
      <c r="P209" s="8">
        <v>14599.285</v>
      </c>
      <c r="Q209" s="28">
        <f t="shared" si="3"/>
        <v>143375.32500000001</v>
      </c>
    </row>
    <row r="210" spans="1:17" ht="15" customHeight="1" x14ac:dyDescent="0.2">
      <c r="A210" s="1">
        <v>287</v>
      </c>
      <c r="B210" s="7" t="s">
        <v>43</v>
      </c>
      <c r="C210" s="7" t="s">
        <v>44</v>
      </c>
      <c r="D210" s="26" t="s">
        <v>7</v>
      </c>
      <c r="E210" s="2"/>
      <c r="F210" s="2" t="s">
        <v>7</v>
      </c>
      <c r="G210" s="3">
        <v>723565</v>
      </c>
      <c r="H210" s="3">
        <v>799848</v>
      </c>
      <c r="I210" s="3">
        <v>723501</v>
      </c>
      <c r="J210" s="3">
        <v>800276</v>
      </c>
      <c r="K210" s="3">
        <v>723402</v>
      </c>
      <c r="L210" s="3">
        <v>800641</v>
      </c>
      <c r="M210" s="3">
        <v>723190</v>
      </c>
      <c r="N210" s="8">
        <v>800852</v>
      </c>
      <c r="O210" s="3">
        <v>723414.5</v>
      </c>
      <c r="P210" s="8">
        <v>800404.25</v>
      </c>
      <c r="Q210" s="28">
        <f t="shared" si="3"/>
        <v>7619093.75</v>
      </c>
    </row>
    <row r="211" spans="1:17" ht="15" customHeight="1" x14ac:dyDescent="0.2">
      <c r="A211" s="1">
        <v>289</v>
      </c>
      <c r="B211" s="7" t="s">
        <v>43</v>
      </c>
      <c r="C211" s="7" t="s">
        <v>44</v>
      </c>
      <c r="D211" s="7"/>
      <c r="E211" s="2" t="s">
        <v>8</v>
      </c>
      <c r="F211" s="2" t="s">
        <v>8</v>
      </c>
      <c r="G211" s="3">
        <v>699.29</v>
      </c>
      <c r="H211" s="3">
        <v>0</v>
      </c>
      <c r="I211" s="3">
        <v>0</v>
      </c>
      <c r="J211" s="3">
        <v>5208.7</v>
      </c>
      <c r="K211" s="3">
        <v>0</v>
      </c>
      <c r="L211" s="3">
        <v>0</v>
      </c>
      <c r="M211" s="3">
        <v>557.16999999999996</v>
      </c>
      <c r="N211" s="8">
        <v>1331.15</v>
      </c>
      <c r="O211" s="3">
        <v>314.11500000000001</v>
      </c>
      <c r="P211" s="8">
        <v>1634.9625000000001</v>
      </c>
      <c r="Q211" s="28">
        <f t="shared" si="3"/>
        <v>9745.3874999999989</v>
      </c>
    </row>
    <row r="212" spans="1:17" ht="15" customHeight="1" x14ac:dyDescent="0.2">
      <c r="A212" s="1">
        <v>291</v>
      </c>
      <c r="B212" s="7" t="s">
        <v>43</v>
      </c>
      <c r="C212" s="7" t="s">
        <v>44</v>
      </c>
      <c r="D212" s="7"/>
      <c r="E212" s="7"/>
      <c r="F212" s="2" t="s">
        <v>9</v>
      </c>
      <c r="G212" s="3">
        <v>557924.51</v>
      </c>
      <c r="H212" s="3">
        <v>498095.99</v>
      </c>
      <c r="I212" s="3">
        <v>535099.61</v>
      </c>
      <c r="J212" s="3">
        <v>492109.58</v>
      </c>
      <c r="K212" s="3">
        <v>551213.46</v>
      </c>
      <c r="L212" s="3">
        <v>484512.53</v>
      </c>
      <c r="M212" s="3">
        <v>531585.97</v>
      </c>
      <c r="N212" s="8">
        <v>485130.98</v>
      </c>
      <c r="O212" s="3">
        <v>543955.88749999995</v>
      </c>
      <c r="P212" s="8">
        <v>489962.27</v>
      </c>
      <c r="Q212" s="28">
        <f t="shared" si="3"/>
        <v>5169590.7874999996</v>
      </c>
    </row>
    <row r="213" spans="1:17" ht="15" customHeight="1" x14ac:dyDescent="0.2">
      <c r="A213" s="1">
        <v>292</v>
      </c>
      <c r="B213" s="7" t="s">
        <v>43</v>
      </c>
      <c r="C213" s="7" t="s">
        <v>44</v>
      </c>
      <c r="D213" s="5"/>
      <c r="E213" s="7"/>
      <c r="F213" s="2" t="s">
        <v>10</v>
      </c>
      <c r="G213" s="3">
        <v>13104.04</v>
      </c>
      <c r="H213" s="3">
        <v>6099.71</v>
      </c>
      <c r="I213" s="3">
        <v>827.66</v>
      </c>
      <c r="J213" s="3">
        <v>8204.23</v>
      </c>
      <c r="K213" s="3">
        <v>624.23</v>
      </c>
      <c r="L213" s="3">
        <v>5062.4399999999996</v>
      </c>
      <c r="M213" s="3">
        <v>7271.13</v>
      </c>
      <c r="N213" s="8">
        <v>2195.6</v>
      </c>
      <c r="O213" s="3">
        <v>5456.7650000000003</v>
      </c>
      <c r="P213" s="8">
        <v>5390.494999999999</v>
      </c>
      <c r="Q213" s="28">
        <f t="shared" si="3"/>
        <v>54236.299999999988</v>
      </c>
    </row>
    <row r="214" spans="1:17" ht="15" customHeight="1" x14ac:dyDescent="0.2">
      <c r="A214" s="1">
        <v>294</v>
      </c>
      <c r="B214" s="7" t="s">
        <v>43</v>
      </c>
      <c r="C214" s="7" t="s">
        <v>44</v>
      </c>
      <c r="D214" s="5"/>
      <c r="E214" s="2" t="s">
        <v>11</v>
      </c>
      <c r="F214" s="2" t="s">
        <v>11</v>
      </c>
      <c r="G214" s="3">
        <v>2132.41</v>
      </c>
      <c r="H214" s="3">
        <v>92074.84</v>
      </c>
      <c r="I214" s="3">
        <v>13924.38</v>
      </c>
      <c r="J214" s="3">
        <v>81304.73</v>
      </c>
      <c r="K214" s="3">
        <v>14348.38</v>
      </c>
      <c r="L214" s="3">
        <v>91358.33</v>
      </c>
      <c r="M214" s="3">
        <v>10382.06</v>
      </c>
      <c r="N214" s="8">
        <v>105381.37</v>
      </c>
      <c r="O214" s="3">
        <v>10196.807499999999</v>
      </c>
      <c r="P214" s="8">
        <v>92529.817500000005</v>
      </c>
      <c r="Q214" s="28">
        <f t="shared" si="3"/>
        <v>513633.125</v>
      </c>
    </row>
    <row r="215" spans="1:17" ht="15" customHeight="1" x14ac:dyDescent="0.2">
      <c r="A215" s="1">
        <v>295</v>
      </c>
      <c r="B215" s="7" t="s">
        <v>43</v>
      </c>
      <c r="C215" s="7" t="s">
        <v>44</v>
      </c>
      <c r="D215" s="5"/>
      <c r="E215" s="26" t="s">
        <v>12</v>
      </c>
      <c r="F215" s="2" t="s">
        <v>12</v>
      </c>
      <c r="G215" s="3">
        <v>24393.98</v>
      </c>
      <c r="H215" s="3">
        <v>23958.639999999999</v>
      </c>
      <c r="I215" s="3">
        <v>24938.959999999999</v>
      </c>
      <c r="J215" s="3">
        <v>16967.84</v>
      </c>
      <c r="K215" s="3">
        <v>20537.73</v>
      </c>
      <c r="L215" s="3">
        <v>23971.61</v>
      </c>
      <c r="M215" s="3">
        <v>32816.839999999997</v>
      </c>
      <c r="N215" s="8">
        <v>17678.740000000002</v>
      </c>
      <c r="O215" s="3">
        <v>25671.877499999999</v>
      </c>
      <c r="P215" s="8">
        <v>20644.2075</v>
      </c>
      <c r="Q215" s="28">
        <f t="shared" si="3"/>
        <v>231580.42499999996</v>
      </c>
    </row>
    <row r="216" spans="1:17" ht="15" customHeight="1" x14ac:dyDescent="0.2">
      <c r="A216" s="1">
        <v>296</v>
      </c>
      <c r="B216" s="7" t="s">
        <v>43</v>
      </c>
      <c r="C216" s="7" t="s">
        <v>44</v>
      </c>
      <c r="D216" s="5"/>
      <c r="E216" s="26" t="s">
        <v>13</v>
      </c>
      <c r="F216" s="2" t="s">
        <v>13</v>
      </c>
      <c r="G216" s="3">
        <v>77600.44</v>
      </c>
      <c r="H216" s="3">
        <v>122055.75</v>
      </c>
      <c r="I216" s="3">
        <v>84183.85</v>
      </c>
      <c r="J216" s="3">
        <v>143570.14000000001</v>
      </c>
      <c r="K216" s="3">
        <v>82860.72</v>
      </c>
      <c r="L216" s="3">
        <v>131187.68</v>
      </c>
      <c r="M216" s="3">
        <v>85055.63</v>
      </c>
      <c r="N216" s="8">
        <v>134435.92000000001</v>
      </c>
      <c r="O216" s="3">
        <v>82425.16</v>
      </c>
      <c r="P216" s="8">
        <v>132812.3725</v>
      </c>
      <c r="Q216" s="28">
        <f t="shared" si="3"/>
        <v>1076187.6625000001</v>
      </c>
    </row>
    <row r="217" spans="1:17" ht="15" customHeight="1" x14ac:dyDescent="0.2">
      <c r="A217" s="1">
        <v>297</v>
      </c>
      <c r="B217" s="7" t="s">
        <v>43</v>
      </c>
      <c r="C217" s="7" t="s">
        <v>44</v>
      </c>
      <c r="D217" s="7"/>
      <c r="E217" s="2" t="s">
        <v>14</v>
      </c>
      <c r="F217" s="2" t="s">
        <v>14</v>
      </c>
      <c r="G217" s="3">
        <v>47710.32</v>
      </c>
      <c r="H217" s="3">
        <v>57563.07</v>
      </c>
      <c r="I217" s="3">
        <v>64526.55</v>
      </c>
      <c r="J217" s="3">
        <v>52910.8</v>
      </c>
      <c r="K217" s="3">
        <v>53817.48</v>
      </c>
      <c r="L217" s="3">
        <v>64548.42</v>
      </c>
      <c r="M217" s="3">
        <v>55521.22</v>
      </c>
      <c r="N217" s="8">
        <v>54698.239999999998</v>
      </c>
      <c r="O217" s="3">
        <v>55393.892500000002</v>
      </c>
      <c r="P217" s="8">
        <v>57430.132499999992</v>
      </c>
      <c r="Q217" s="28">
        <f t="shared" si="3"/>
        <v>564120.125</v>
      </c>
    </row>
    <row r="218" spans="1:17" ht="15" customHeight="1" x14ac:dyDescent="0.2">
      <c r="A218" s="1">
        <v>298</v>
      </c>
      <c r="B218" s="7" t="s">
        <v>43</v>
      </c>
      <c r="C218" s="7" t="s">
        <v>45</v>
      </c>
      <c r="D218" s="26" t="s">
        <v>7</v>
      </c>
      <c r="E218" s="2"/>
      <c r="F218" s="2" t="s">
        <v>7</v>
      </c>
      <c r="G218" s="3">
        <v>156140</v>
      </c>
      <c r="H218" s="3">
        <v>172720</v>
      </c>
      <c r="I218" s="3">
        <v>156041</v>
      </c>
      <c r="J218" s="3">
        <v>172695</v>
      </c>
      <c r="K218" s="3">
        <v>155930</v>
      </c>
      <c r="L218" s="3">
        <v>172662</v>
      </c>
      <c r="M218" s="3">
        <v>155796</v>
      </c>
      <c r="N218" s="8">
        <v>172603</v>
      </c>
      <c r="O218" s="3">
        <v>155976.75</v>
      </c>
      <c r="P218" s="8">
        <v>172670</v>
      </c>
      <c r="Q218" s="28">
        <f t="shared" si="3"/>
        <v>1643233.75</v>
      </c>
    </row>
    <row r="219" spans="1:17" ht="15" customHeight="1" x14ac:dyDescent="0.2">
      <c r="A219" s="1">
        <v>300</v>
      </c>
      <c r="B219" s="7" t="s">
        <v>43</v>
      </c>
      <c r="C219" s="7" t="s">
        <v>45</v>
      </c>
      <c r="D219" s="5"/>
      <c r="E219" s="2" t="s">
        <v>8</v>
      </c>
      <c r="F219" s="2" t="s">
        <v>8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8">
        <v>0</v>
      </c>
      <c r="O219" s="3">
        <v>0</v>
      </c>
      <c r="P219" s="8">
        <v>0</v>
      </c>
      <c r="Q219" s="28">
        <f t="shared" si="3"/>
        <v>0</v>
      </c>
    </row>
    <row r="220" spans="1:17" ht="15" customHeight="1" x14ac:dyDescent="0.2">
      <c r="A220" s="1">
        <v>302</v>
      </c>
      <c r="B220" s="7" t="s">
        <v>43</v>
      </c>
      <c r="C220" s="7" t="s">
        <v>45</v>
      </c>
      <c r="D220" s="5"/>
      <c r="E220" s="7"/>
      <c r="F220" s="2" t="s">
        <v>9</v>
      </c>
      <c r="G220" s="3">
        <v>119055.61</v>
      </c>
      <c r="H220" s="3">
        <v>110248.51</v>
      </c>
      <c r="I220" s="3">
        <v>123779.68</v>
      </c>
      <c r="J220" s="3">
        <v>108378.02</v>
      </c>
      <c r="K220" s="3">
        <v>118732.12</v>
      </c>
      <c r="L220" s="3">
        <v>113911.26</v>
      </c>
      <c r="M220" s="3">
        <v>118347.36</v>
      </c>
      <c r="N220" s="8">
        <v>113593.31</v>
      </c>
      <c r="O220" s="3">
        <v>119978.69249999999</v>
      </c>
      <c r="P220" s="8">
        <v>111532.77499999999</v>
      </c>
      <c r="Q220" s="28">
        <f t="shared" si="3"/>
        <v>1157557.3374999999</v>
      </c>
    </row>
    <row r="221" spans="1:17" ht="15" customHeight="1" x14ac:dyDescent="0.2">
      <c r="A221" s="1">
        <v>303</v>
      </c>
      <c r="B221" s="7" t="s">
        <v>43</v>
      </c>
      <c r="C221" s="7" t="s">
        <v>45</v>
      </c>
      <c r="D221" s="5"/>
      <c r="E221" s="7"/>
      <c r="F221" s="2" t="s">
        <v>10</v>
      </c>
      <c r="G221" s="3">
        <v>1591.82</v>
      </c>
      <c r="H221" s="3">
        <v>824.38</v>
      </c>
      <c r="I221" s="3">
        <v>661.46</v>
      </c>
      <c r="J221" s="3">
        <v>1194.21</v>
      </c>
      <c r="K221" s="3">
        <v>1383.46</v>
      </c>
      <c r="L221" s="3">
        <v>1120.0999999999999</v>
      </c>
      <c r="M221" s="3">
        <v>800.46</v>
      </c>
      <c r="N221" s="8">
        <v>950.98</v>
      </c>
      <c r="O221" s="3">
        <v>1109.3</v>
      </c>
      <c r="P221" s="8">
        <v>1022.4175</v>
      </c>
      <c r="Q221" s="28">
        <f t="shared" si="3"/>
        <v>10658.5875</v>
      </c>
    </row>
    <row r="222" spans="1:17" ht="15" customHeight="1" x14ac:dyDescent="0.2">
      <c r="A222" s="1">
        <v>305</v>
      </c>
      <c r="B222" s="7" t="s">
        <v>43</v>
      </c>
      <c r="C222" s="7" t="s">
        <v>45</v>
      </c>
      <c r="D222" s="7"/>
      <c r="E222" s="2" t="s">
        <v>11</v>
      </c>
      <c r="F222" s="2" t="s">
        <v>11</v>
      </c>
      <c r="G222" s="3">
        <v>322.77</v>
      </c>
      <c r="H222" s="3">
        <v>20281.29</v>
      </c>
      <c r="I222" s="3">
        <v>126.24</v>
      </c>
      <c r="J222" s="3">
        <v>23519.55</v>
      </c>
      <c r="K222" s="3">
        <v>197.28</v>
      </c>
      <c r="L222" s="3">
        <v>19142.21</v>
      </c>
      <c r="M222" s="3">
        <v>1167</v>
      </c>
      <c r="N222" s="8">
        <v>17104.009999999998</v>
      </c>
      <c r="O222" s="3">
        <v>453.32249999999999</v>
      </c>
      <c r="P222" s="8">
        <v>20011.764999999999</v>
      </c>
      <c r="Q222" s="28">
        <f t="shared" si="3"/>
        <v>102325.4375</v>
      </c>
    </row>
    <row r="223" spans="1:17" ht="15" customHeight="1" x14ac:dyDescent="0.2">
      <c r="A223" s="1">
        <v>306</v>
      </c>
      <c r="B223" s="7" t="s">
        <v>43</v>
      </c>
      <c r="C223" s="7" t="s">
        <v>45</v>
      </c>
      <c r="D223" s="7"/>
      <c r="E223" s="2" t="s">
        <v>12</v>
      </c>
      <c r="F223" s="2" t="s">
        <v>12</v>
      </c>
      <c r="G223" s="3">
        <v>5136.1400000000003</v>
      </c>
      <c r="H223" s="3">
        <v>3783.65</v>
      </c>
      <c r="I223" s="3">
        <v>2665.34</v>
      </c>
      <c r="J223" s="3">
        <v>2735.5</v>
      </c>
      <c r="K223" s="3">
        <v>4002.26</v>
      </c>
      <c r="L223" s="3">
        <v>2898.69</v>
      </c>
      <c r="M223" s="3">
        <v>2806.07</v>
      </c>
      <c r="N223" s="8">
        <v>4209.41</v>
      </c>
      <c r="O223" s="3">
        <v>3652.4525000000003</v>
      </c>
      <c r="P223" s="8">
        <v>3406.8125</v>
      </c>
      <c r="Q223" s="28">
        <f t="shared" si="3"/>
        <v>35296.324999999997</v>
      </c>
    </row>
    <row r="224" spans="1:17" ht="15" customHeight="1" x14ac:dyDescent="0.2">
      <c r="A224" s="1">
        <v>307</v>
      </c>
      <c r="B224" s="7" t="s">
        <v>43</v>
      </c>
      <c r="C224" s="7" t="s">
        <v>45</v>
      </c>
      <c r="D224" s="5"/>
      <c r="E224" s="2" t="s">
        <v>13</v>
      </c>
      <c r="F224" s="2" t="s">
        <v>13</v>
      </c>
      <c r="G224" s="3">
        <v>19189.09</v>
      </c>
      <c r="H224" s="3">
        <v>26719.51</v>
      </c>
      <c r="I224" s="3">
        <v>18712.169999999998</v>
      </c>
      <c r="J224" s="3">
        <v>25311.02</v>
      </c>
      <c r="K224" s="3">
        <v>18040.150000000001</v>
      </c>
      <c r="L224" s="3">
        <v>24544.98</v>
      </c>
      <c r="M224" s="3">
        <v>19367.25</v>
      </c>
      <c r="N224" s="8">
        <v>26454.240000000002</v>
      </c>
      <c r="O224" s="3">
        <v>18827.165000000001</v>
      </c>
      <c r="P224" s="8">
        <v>25757.4375</v>
      </c>
      <c r="Q224" s="28">
        <f t="shared" si="3"/>
        <v>222923.01250000001</v>
      </c>
    </row>
    <row r="225" spans="1:17" ht="15" customHeight="1" x14ac:dyDescent="0.2">
      <c r="A225" s="1">
        <v>308</v>
      </c>
      <c r="B225" s="7" t="s">
        <v>43</v>
      </c>
      <c r="C225" s="7" t="s">
        <v>45</v>
      </c>
      <c r="D225" s="5"/>
      <c r="E225" s="2" t="s">
        <v>14</v>
      </c>
      <c r="F225" s="2" t="s">
        <v>14</v>
      </c>
      <c r="G225" s="3">
        <v>10844.58</v>
      </c>
      <c r="H225" s="3">
        <v>10862.65</v>
      </c>
      <c r="I225" s="3">
        <v>10096.11</v>
      </c>
      <c r="J225" s="3">
        <v>11556.71</v>
      </c>
      <c r="K225" s="3">
        <v>13574.72</v>
      </c>
      <c r="L225" s="3">
        <v>11044.76</v>
      </c>
      <c r="M225" s="3">
        <v>13307.86</v>
      </c>
      <c r="N225" s="8">
        <v>10291.049999999999</v>
      </c>
      <c r="O225" s="3">
        <v>11955.817500000001</v>
      </c>
      <c r="P225" s="8">
        <v>10938.7925</v>
      </c>
      <c r="Q225" s="28">
        <f t="shared" si="3"/>
        <v>114473.05</v>
      </c>
    </row>
    <row r="226" spans="1:17" ht="15" customHeight="1" x14ac:dyDescent="0.2">
      <c r="A226" s="1">
        <v>309</v>
      </c>
      <c r="B226" s="7" t="s">
        <v>43</v>
      </c>
      <c r="C226" s="7" t="s">
        <v>46</v>
      </c>
      <c r="D226" s="26" t="s">
        <v>7</v>
      </c>
      <c r="E226" s="26"/>
      <c r="F226" s="2" t="s">
        <v>7</v>
      </c>
      <c r="G226" s="3">
        <v>278131</v>
      </c>
      <c r="H226" s="3">
        <v>308567</v>
      </c>
      <c r="I226" s="3">
        <v>277723</v>
      </c>
      <c r="J226" s="3">
        <v>308305</v>
      </c>
      <c r="K226" s="3">
        <v>277310</v>
      </c>
      <c r="L226" s="3">
        <v>308031</v>
      </c>
      <c r="M226" s="3">
        <v>276858</v>
      </c>
      <c r="N226" s="8">
        <v>307694</v>
      </c>
      <c r="O226" s="3">
        <v>277505.5</v>
      </c>
      <c r="P226" s="8">
        <v>308149.25</v>
      </c>
      <c r="Q226" s="28">
        <f t="shared" si="3"/>
        <v>2928273.75</v>
      </c>
    </row>
    <row r="227" spans="1:17" ht="15" customHeight="1" x14ac:dyDescent="0.2">
      <c r="A227" s="1">
        <v>311</v>
      </c>
      <c r="B227" s="7" t="s">
        <v>43</v>
      </c>
      <c r="C227" s="7" t="s">
        <v>46</v>
      </c>
      <c r="D227" s="5"/>
      <c r="E227" s="26" t="s">
        <v>8</v>
      </c>
      <c r="F227" s="2" t="s">
        <v>8</v>
      </c>
      <c r="G227" s="3">
        <v>759.43</v>
      </c>
      <c r="H227" s="3">
        <v>4302.28</v>
      </c>
      <c r="I227" s="3">
        <v>1252.94</v>
      </c>
      <c r="J227" s="3">
        <v>2900.52</v>
      </c>
      <c r="K227" s="3">
        <v>0</v>
      </c>
      <c r="L227" s="3">
        <v>0</v>
      </c>
      <c r="M227" s="3">
        <v>0</v>
      </c>
      <c r="N227" s="8">
        <v>225.25</v>
      </c>
      <c r="O227" s="3">
        <v>503.09249999999997</v>
      </c>
      <c r="P227" s="8">
        <v>1857.0124999999998</v>
      </c>
      <c r="Q227" s="28">
        <f t="shared" si="3"/>
        <v>11800.525000000001</v>
      </c>
    </row>
    <row r="228" spans="1:17" ht="15" customHeight="1" x14ac:dyDescent="0.2">
      <c r="A228" s="1">
        <v>313</v>
      </c>
      <c r="B228" s="7" t="s">
        <v>43</v>
      </c>
      <c r="C228" s="7" t="s">
        <v>46</v>
      </c>
      <c r="D228" s="7"/>
      <c r="E228" s="7"/>
      <c r="F228" s="2" t="s">
        <v>9</v>
      </c>
      <c r="G228" s="3">
        <v>190951.24</v>
      </c>
      <c r="H228" s="3">
        <v>159430.24</v>
      </c>
      <c r="I228" s="3">
        <v>193737.84</v>
      </c>
      <c r="J228" s="3">
        <v>163795.37</v>
      </c>
      <c r="K228" s="3">
        <v>201750.69</v>
      </c>
      <c r="L228" s="3">
        <v>168384.49</v>
      </c>
      <c r="M228" s="3">
        <v>197953.65</v>
      </c>
      <c r="N228" s="8">
        <v>164735.38</v>
      </c>
      <c r="O228" s="3">
        <v>196098.35500000001</v>
      </c>
      <c r="P228" s="8">
        <v>164086.37</v>
      </c>
      <c r="Q228" s="28">
        <f t="shared" si="3"/>
        <v>1800923.625</v>
      </c>
    </row>
    <row r="229" spans="1:17" ht="15" customHeight="1" x14ac:dyDescent="0.2">
      <c r="A229" s="1">
        <v>314</v>
      </c>
      <c r="B229" s="7" t="s">
        <v>43</v>
      </c>
      <c r="C229" s="7" t="s">
        <v>46</v>
      </c>
      <c r="D229" s="5"/>
      <c r="E229" s="7"/>
      <c r="F229" s="2" t="s">
        <v>10</v>
      </c>
      <c r="G229" s="3">
        <v>2149.12</v>
      </c>
      <c r="H229" s="3">
        <v>2905.69</v>
      </c>
      <c r="I229" s="3">
        <v>1148.1300000000001</v>
      </c>
      <c r="J229" s="3">
        <v>1622.41</v>
      </c>
      <c r="K229" s="3">
        <v>1422.91</v>
      </c>
      <c r="L229" s="3">
        <v>4117.8599999999997</v>
      </c>
      <c r="M229" s="3">
        <v>4185.46</v>
      </c>
      <c r="N229" s="8">
        <v>3533.62</v>
      </c>
      <c r="O229" s="3">
        <v>2226.4049999999997</v>
      </c>
      <c r="P229" s="8">
        <v>3044.8949999999995</v>
      </c>
      <c r="Q229" s="28">
        <f t="shared" si="3"/>
        <v>26356.499999999996</v>
      </c>
    </row>
    <row r="230" spans="1:17" ht="15" customHeight="1" x14ac:dyDescent="0.2">
      <c r="A230" s="1">
        <v>316</v>
      </c>
      <c r="B230" s="7" t="s">
        <v>43</v>
      </c>
      <c r="C230" s="7" t="s">
        <v>46</v>
      </c>
      <c r="D230" s="5"/>
      <c r="E230" s="2" t="s">
        <v>11</v>
      </c>
      <c r="F230" s="2" t="s">
        <v>11</v>
      </c>
      <c r="G230" s="3">
        <v>1965.45</v>
      </c>
      <c r="H230" s="3">
        <v>48735.86</v>
      </c>
      <c r="I230" s="3">
        <v>436.02</v>
      </c>
      <c r="J230" s="3">
        <v>47774.81</v>
      </c>
      <c r="K230" s="3">
        <v>1080.69</v>
      </c>
      <c r="L230" s="3">
        <v>48492.05</v>
      </c>
      <c r="M230" s="3">
        <v>975.05</v>
      </c>
      <c r="N230" s="8">
        <v>50564.08</v>
      </c>
      <c r="O230" s="3">
        <v>1114.3025</v>
      </c>
      <c r="P230" s="8">
        <v>48891.7</v>
      </c>
      <c r="Q230" s="28">
        <f t="shared" si="3"/>
        <v>250030.01250000001</v>
      </c>
    </row>
    <row r="231" spans="1:17" ht="15" customHeight="1" x14ac:dyDescent="0.2">
      <c r="A231" s="1">
        <v>317</v>
      </c>
      <c r="B231" s="7" t="s">
        <v>43</v>
      </c>
      <c r="C231" s="7" t="s">
        <v>46</v>
      </c>
      <c r="D231" s="5"/>
      <c r="E231" s="2" t="s">
        <v>12</v>
      </c>
      <c r="F231" s="2" t="s">
        <v>12</v>
      </c>
      <c r="G231" s="3">
        <v>14358.21</v>
      </c>
      <c r="H231" s="3">
        <v>8113.65</v>
      </c>
      <c r="I231" s="3">
        <v>14163.01</v>
      </c>
      <c r="J231" s="3">
        <v>11884.34</v>
      </c>
      <c r="K231" s="3">
        <v>12108.95</v>
      </c>
      <c r="L231" s="3">
        <v>6089.41</v>
      </c>
      <c r="M231" s="3">
        <v>12432.49</v>
      </c>
      <c r="N231" s="8">
        <v>6882.45</v>
      </c>
      <c r="O231" s="3">
        <v>13265.664999999999</v>
      </c>
      <c r="P231" s="8">
        <v>8242.4624999999996</v>
      </c>
      <c r="Q231" s="28">
        <f t="shared" si="3"/>
        <v>107540.6375</v>
      </c>
    </row>
    <row r="232" spans="1:17" ht="15" customHeight="1" x14ac:dyDescent="0.2">
      <c r="A232" s="1">
        <v>318</v>
      </c>
      <c r="B232" s="7" t="s">
        <v>43</v>
      </c>
      <c r="C232" s="7" t="s">
        <v>46</v>
      </c>
      <c r="D232" s="5"/>
      <c r="E232" s="2" t="s">
        <v>13</v>
      </c>
      <c r="F232" s="2" t="s">
        <v>13</v>
      </c>
      <c r="G232" s="3">
        <v>38155.760000000002</v>
      </c>
      <c r="H232" s="3">
        <v>55064.34</v>
      </c>
      <c r="I232" s="3">
        <v>41121.17</v>
      </c>
      <c r="J232" s="3">
        <v>55921.98</v>
      </c>
      <c r="K232" s="3">
        <v>41061.32</v>
      </c>
      <c r="L232" s="3">
        <v>57454.44</v>
      </c>
      <c r="M232" s="3">
        <v>38572.269999999997</v>
      </c>
      <c r="N232" s="8">
        <v>57858.3</v>
      </c>
      <c r="O232" s="3">
        <v>39727.629999999997</v>
      </c>
      <c r="P232" s="8">
        <v>56574.764999999999</v>
      </c>
      <c r="Q232" s="28">
        <f t="shared" si="3"/>
        <v>481511.97500000003</v>
      </c>
    </row>
    <row r="233" spans="1:17" ht="15" customHeight="1" x14ac:dyDescent="0.2">
      <c r="A233" s="1">
        <v>319</v>
      </c>
      <c r="B233" s="7" t="s">
        <v>43</v>
      </c>
      <c r="C233" s="7" t="s">
        <v>46</v>
      </c>
      <c r="D233" s="7"/>
      <c r="E233" s="2" t="s">
        <v>14</v>
      </c>
      <c r="F233" s="2" t="s">
        <v>14</v>
      </c>
      <c r="G233" s="3">
        <v>29791.79</v>
      </c>
      <c r="H233" s="3">
        <v>30014.95</v>
      </c>
      <c r="I233" s="3">
        <v>25863.89</v>
      </c>
      <c r="J233" s="3">
        <v>24405.56</v>
      </c>
      <c r="K233" s="3">
        <v>19885.439999999999</v>
      </c>
      <c r="L233" s="3">
        <v>23492.76</v>
      </c>
      <c r="M233" s="3">
        <v>22739.08</v>
      </c>
      <c r="N233" s="8">
        <v>23894.91</v>
      </c>
      <c r="O233" s="3">
        <v>24570.05</v>
      </c>
      <c r="P233" s="8">
        <v>25452.045000000002</v>
      </c>
      <c r="Q233" s="28">
        <f t="shared" si="3"/>
        <v>250110.47500000003</v>
      </c>
    </row>
    <row r="234" spans="1:17" ht="15" customHeight="1" x14ac:dyDescent="0.2">
      <c r="A234" s="1">
        <v>320</v>
      </c>
      <c r="B234" s="7" t="s">
        <v>43</v>
      </c>
      <c r="C234" s="7" t="s">
        <v>47</v>
      </c>
      <c r="D234" s="2" t="s">
        <v>7</v>
      </c>
      <c r="E234" s="2"/>
      <c r="F234" s="2" t="s">
        <v>7</v>
      </c>
      <c r="G234" s="3">
        <v>160892</v>
      </c>
      <c r="H234" s="3">
        <v>178517</v>
      </c>
      <c r="I234" s="3">
        <v>160612</v>
      </c>
      <c r="J234" s="3">
        <v>178309</v>
      </c>
      <c r="K234" s="3">
        <v>160317</v>
      </c>
      <c r="L234" s="3">
        <v>178095</v>
      </c>
      <c r="M234" s="3">
        <v>160010</v>
      </c>
      <c r="N234" s="8">
        <v>177847</v>
      </c>
      <c r="O234" s="3">
        <v>160457.75</v>
      </c>
      <c r="P234" s="8">
        <v>178192</v>
      </c>
      <c r="Q234" s="28">
        <f t="shared" si="3"/>
        <v>1693248.75</v>
      </c>
    </row>
    <row r="235" spans="1:17" ht="15" customHeight="1" x14ac:dyDescent="0.2">
      <c r="A235" s="1">
        <v>322</v>
      </c>
      <c r="B235" s="7" t="s">
        <v>43</v>
      </c>
      <c r="C235" s="7" t="s">
        <v>47</v>
      </c>
      <c r="D235" s="5"/>
      <c r="E235" s="2" t="s">
        <v>8</v>
      </c>
      <c r="F235" s="2" t="s">
        <v>8</v>
      </c>
      <c r="G235" s="3">
        <v>542.41999999999996</v>
      </c>
      <c r="H235" s="3">
        <v>0</v>
      </c>
      <c r="I235" s="3">
        <v>1399.88</v>
      </c>
      <c r="J235" s="3">
        <v>765.51</v>
      </c>
      <c r="K235" s="3">
        <v>0</v>
      </c>
      <c r="L235" s="3">
        <v>0</v>
      </c>
      <c r="M235" s="3">
        <v>0</v>
      </c>
      <c r="N235" s="8">
        <v>0</v>
      </c>
      <c r="O235" s="3">
        <v>485.57500000000005</v>
      </c>
      <c r="P235" s="8">
        <v>191.3775</v>
      </c>
      <c r="Q235" s="28">
        <f t="shared" si="3"/>
        <v>3384.7625000000003</v>
      </c>
    </row>
    <row r="236" spans="1:17" ht="15" customHeight="1" x14ac:dyDescent="0.2">
      <c r="A236" s="1">
        <v>324</v>
      </c>
      <c r="B236" s="7" t="s">
        <v>43</v>
      </c>
      <c r="C236" s="7" t="s">
        <v>47</v>
      </c>
      <c r="D236" s="5"/>
      <c r="E236" s="7"/>
      <c r="F236" s="2" t="s">
        <v>9</v>
      </c>
      <c r="G236" s="3">
        <v>113563.25</v>
      </c>
      <c r="H236" s="3">
        <v>91061.42</v>
      </c>
      <c r="I236" s="3">
        <v>117199.51</v>
      </c>
      <c r="J236" s="3">
        <v>92861.66</v>
      </c>
      <c r="K236" s="3">
        <v>119251.06</v>
      </c>
      <c r="L236" s="3">
        <v>93805.28</v>
      </c>
      <c r="M236" s="3">
        <v>117363.98</v>
      </c>
      <c r="N236" s="8">
        <v>92323.8</v>
      </c>
      <c r="O236" s="3">
        <v>116844.45</v>
      </c>
      <c r="P236" s="8">
        <v>92513.04</v>
      </c>
      <c r="Q236" s="28">
        <f t="shared" si="3"/>
        <v>1046787.45</v>
      </c>
    </row>
    <row r="237" spans="1:17" ht="15" customHeight="1" x14ac:dyDescent="0.2">
      <c r="A237" s="1">
        <v>325</v>
      </c>
      <c r="B237" s="7" t="s">
        <v>43</v>
      </c>
      <c r="C237" s="7" t="s">
        <v>47</v>
      </c>
      <c r="D237" s="5"/>
      <c r="E237" s="5"/>
      <c r="F237" s="2" t="s">
        <v>10</v>
      </c>
      <c r="G237" s="3">
        <v>340.47</v>
      </c>
      <c r="H237" s="3">
        <v>626.01</v>
      </c>
      <c r="I237" s="3">
        <v>386.64</v>
      </c>
      <c r="J237" s="3">
        <v>325.36</v>
      </c>
      <c r="K237" s="3">
        <v>788.02</v>
      </c>
      <c r="L237" s="3">
        <v>596.19000000000005</v>
      </c>
      <c r="M237" s="3">
        <v>193.96</v>
      </c>
      <c r="N237" s="8">
        <v>219.07</v>
      </c>
      <c r="O237" s="3">
        <v>427.27250000000004</v>
      </c>
      <c r="P237" s="8">
        <v>441.65749999999997</v>
      </c>
      <c r="Q237" s="28">
        <f t="shared" si="3"/>
        <v>4344.6500000000005</v>
      </c>
    </row>
    <row r="238" spans="1:17" ht="15" customHeight="1" x14ac:dyDescent="0.2">
      <c r="A238" s="1">
        <v>327</v>
      </c>
      <c r="B238" s="7" t="s">
        <v>43</v>
      </c>
      <c r="C238" s="7" t="s">
        <v>47</v>
      </c>
      <c r="D238" s="5"/>
      <c r="E238" s="26" t="s">
        <v>11</v>
      </c>
      <c r="F238" s="2" t="s">
        <v>11</v>
      </c>
      <c r="G238" s="3">
        <v>3322.62</v>
      </c>
      <c r="H238" s="3">
        <v>43676.63</v>
      </c>
      <c r="I238" s="3">
        <v>3600.87</v>
      </c>
      <c r="J238" s="3">
        <v>44257.26</v>
      </c>
      <c r="K238" s="3">
        <v>3659.29</v>
      </c>
      <c r="L238" s="3">
        <v>42078.04</v>
      </c>
      <c r="M238" s="3">
        <v>3676.32</v>
      </c>
      <c r="N238" s="8">
        <v>42926.57</v>
      </c>
      <c r="O238" s="3">
        <v>3564.7749999999996</v>
      </c>
      <c r="P238" s="8">
        <v>43234.625</v>
      </c>
      <c r="Q238" s="28">
        <f t="shared" si="3"/>
        <v>233997</v>
      </c>
    </row>
    <row r="239" spans="1:17" ht="15" customHeight="1" x14ac:dyDescent="0.2">
      <c r="A239" s="1">
        <v>328</v>
      </c>
      <c r="B239" s="7" t="s">
        <v>43</v>
      </c>
      <c r="C239" s="7" t="s">
        <v>47</v>
      </c>
      <c r="D239" s="7"/>
      <c r="E239" s="2" t="s">
        <v>12</v>
      </c>
      <c r="F239" s="2" t="s">
        <v>12</v>
      </c>
      <c r="G239" s="3">
        <v>5814.22</v>
      </c>
      <c r="H239" s="3">
        <v>2967.85</v>
      </c>
      <c r="I239" s="3">
        <v>3851.15</v>
      </c>
      <c r="J239" s="3">
        <v>3433.12</v>
      </c>
      <c r="K239" s="3">
        <v>4979.01</v>
      </c>
      <c r="L239" s="3">
        <v>2478.9299999999998</v>
      </c>
      <c r="M239" s="3">
        <v>6180.32</v>
      </c>
      <c r="N239" s="8">
        <v>3203.23</v>
      </c>
      <c r="O239" s="3">
        <v>5206.1750000000002</v>
      </c>
      <c r="P239" s="8">
        <v>3020.7824999999998</v>
      </c>
      <c r="Q239" s="28">
        <f t="shared" si="3"/>
        <v>41134.787500000006</v>
      </c>
    </row>
    <row r="240" spans="1:17" ht="15" customHeight="1" x14ac:dyDescent="0.2">
      <c r="A240" s="1">
        <v>329</v>
      </c>
      <c r="B240" s="7" t="s">
        <v>43</v>
      </c>
      <c r="C240" s="7" t="s">
        <v>47</v>
      </c>
      <c r="D240" s="5"/>
      <c r="E240" s="2" t="s">
        <v>13</v>
      </c>
      <c r="F240" s="2" t="s">
        <v>13</v>
      </c>
      <c r="G240" s="3">
        <v>24022.41</v>
      </c>
      <c r="H240" s="3">
        <v>24884.54</v>
      </c>
      <c r="I240" s="3">
        <v>20744.97</v>
      </c>
      <c r="J240" s="3">
        <v>22771.07</v>
      </c>
      <c r="K240" s="3">
        <v>18693.060000000001</v>
      </c>
      <c r="L240" s="3">
        <v>26569.279999999999</v>
      </c>
      <c r="M240" s="3">
        <v>20358.75</v>
      </c>
      <c r="N240" s="8">
        <v>26680.26</v>
      </c>
      <c r="O240" s="3">
        <v>20954.797500000001</v>
      </c>
      <c r="P240" s="8">
        <v>25226.287499999999</v>
      </c>
      <c r="Q240" s="28">
        <f t="shared" si="3"/>
        <v>230905.42500000002</v>
      </c>
    </row>
    <row r="241" spans="1:17" ht="15" customHeight="1" x14ac:dyDescent="0.2">
      <c r="A241" s="1">
        <v>330</v>
      </c>
      <c r="B241" s="7" t="s">
        <v>43</v>
      </c>
      <c r="C241" s="7" t="s">
        <v>47</v>
      </c>
      <c r="D241" s="5"/>
      <c r="E241" s="2" t="s">
        <v>14</v>
      </c>
      <c r="F241" s="2" t="s">
        <v>14</v>
      </c>
      <c r="G241" s="3">
        <v>13286.6</v>
      </c>
      <c r="H241" s="3">
        <v>15300.54</v>
      </c>
      <c r="I241" s="3">
        <v>13428.98</v>
      </c>
      <c r="J241" s="3">
        <v>13895.03</v>
      </c>
      <c r="K241" s="3">
        <v>12946.56</v>
      </c>
      <c r="L241" s="3">
        <v>12567.28</v>
      </c>
      <c r="M241" s="3">
        <v>12236.67</v>
      </c>
      <c r="N241" s="8">
        <v>12494.07</v>
      </c>
      <c r="O241" s="3">
        <v>12974.702499999999</v>
      </c>
      <c r="P241" s="8">
        <v>13564.23</v>
      </c>
      <c r="Q241" s="28">
        <f t="shared" si="3"/>
        <v>132694.66249999998</v>
      </c>
    </row>
    <row r="242" spans="1:17" ht="15" customHeight="1" x14ac:dyDescent="0.2">
      <c r="A242" s="1">
        <v>331</v>
      </c>
      <c r="B242" s="7" t="s">
        <v>43</v>
      </c>
      <c r="C242" s="7" t="s">
        <v>48</v>
      </c>
      <c r="D242" s="26" t="s">
        <v>7</v>
      </c>
      <c r="E242" s="2"/>
      <c r="F242" s="2" t="s">
        <v>7</v>
      </c>
      <c r="G242" s="3">
        <v>146924</v>
      </c>
      <c r="H242" s="3">
        <v>163030</v>
      </c>
      <c r="I242" s="3">
        <v>146497</v>
      </c>
      <c r="J242" s="3">
        <v>162652</v>
      </c>
      <c r="K242" s="3">
        <v>146062</v>
      </c>
      <c r="L242" s="3">
        <v>162273</v>
      </c>
      <c r="M242" s="3">
        <v>145628</v>
      </c>
      <c r="N242" s="8">
        <v>161871</v>
      </c>
      <c r="O242" s="3">
        <v>146277.75</v>
      </c>
      <c r="P242" s="8">
        <v>162456.5</v>
      </c>
      <c r="Q242" s="28">
        <f t="shared" si="3"/>
        <v>1543671.25</v>
      </c>
    </row>
    <row r="243" spans="1:17" ht="15" customHeight="1" x14ac:dyDescent="0.2">
      <c r="A243" s="1">
        <v>333</v>
      </c>
      <c r="B243" s="7" t="s">
        <v>43</v>
      </c>
      <c r="C243" s="7" t="s">
        <v>48</v>
      </c>
      <c r="D243" s="5"/>
      <c r="E243" s="2" t="s">
        <v>8</v>
      </c>
      <c r="F243" s="2" t="s">
        <v>8</v>
      </c>
      <c r="G243" s="3">
        <v>1917.88</v>
      </c>
      <c r="H243" s="3">
        <v>1051.4000000000001</v>
      </c>
      <c r="I243" s="3">
        <v>3675.58</v>
      </c>
      <c r="J243" s="3">
        <v>1649.12</v>
      </c>
      <c r="K243" s="3">
        <v>185.43</v>
      </c>
      <c r="L243" s="3">
        <v>0</v>
      </c>
      <c r="M243" s="3">
        <v>203.28</v>
      </c>
      <c r="N243" s="8">
        <v>280.19</v>
      </c>
      <c r="O243" s="3">
        <v>1495.5425</v>
      </c>
      <c r="P243" s="8">
        <v>745.17750000000001</v>
      </c>
      <c r="Q243" s="28">
        <f t="shared" si="3"/>
        <v>11203.6</v>
      </c>
    </row>
    <row r="244" spans="1:17" ht="15" customHeight="1" x14ac:dyDescent="0.2">
      <c r="A244" s="1">
        <v>335</v>
      </c>
      <c r="B244" s="7" t="s">
        <v>43</v>
      </c>
      <c r="C244" s="7" t="s">
        <v>48</v>
      </c>
      <c r="D244" s="7"/>
      <c r="E244" s="7"/>
      <c r="F244" s="2" t="s">
        <v>9</v>
      </c>
      <c r="G244" s="3">
        <v>101353.59</v>
      </c>
      <c r="H244" s="3">
        <v>88836.69</v>
      </c>
      <c r="I244" s="3">
        <v>104038.19</v>
      </c>
      <c r="J244" s="3">
        <v>83494.16</v>
      </c>
      <c r="K244" s="3">
        <v>108575.09</v>
      </c>
      <c r="L244" s="3">
        <v>93083.33</v>
      </c>
      <c r="M244" s="3">
        <v>104077.46</v>
      </c>
      <c r="N244" s="8">
        <v>91576.37</v>
      </c>
      <c r="O244" s="3">
        <v>104511.0825</v>
      </c>
      <c r="P244" s="8">
        <v>89247.637499999997</v>
      </c>
      <c r="Q244" s="28">
        <f t="shared" si="3"/>
        <v>968793.59999999986</v>
      </c>
    </row>
    <row r="245" spans="1:17" ht="15" customHeight="1" x14ac:dyDescent="0.2">
      <c r="A245" s="1">
        <v>336</v>
      </c>
      <c r="B245" s="7" t="s">
        <v>43</v>
      </c>
      <c r="C245" s="7" t="s">
        <v>48</v>
      </c>
      <c r="D245" s="7"/>
      <c r="E245" s="7"/>
      <c r="F245" s="2" t="s">
        <v>10</v>
      </c>
      <c r="G245" s="3">
        <v>1547.06</v>
      </c>
      <c r="H245" s="3">
        <v>1801.68</v>
      </c>
      <c r="I245" s="3">
        <v>151.74</v>
      </c>
      <c r="J245" s="3">
        <v>2165.81</v>
      </c>
      <c r="K245" s="3">
        <v>741.27</v>
      </c>
      <c r="L245" s="3">
        <v>739.75</v>
      </c>
      <c r="M245" s="3">
        <v>1608.04</v>
      </c>
      <c r="N245" s="8">
        <v>3475.51</v>
      </c>
      <c r="O245" s="3">
        <v>1012.0274999999999</v>
      </c>
      <c r="P245" s="8">
        <v>2045.6875</v>
      </c>
      <c r="Q245" s="28">
        <f t="shared" si="3"/>
        <v>15288.574999999999</v>
      </c>
    </row>
    <row r="246" spans="1:17" ht="15" customHeight="1" x14ac:dyDescent="0.2">
      <c r="A246" s="1">
        <v>338</v>
      </c>
      <c r="B246" s="7" t="s">
        <v>43</v>
      </c>
      <c r="C246" s="7" t="s">
        <v>48</v>
      </c>
      <c r="D246" s="5"/>
      <c r="E246" s="2" t="s">
        <v>11</v>
      </c>
      <c r="F246" s="2" t="s">
        <v>11</v>
      </c>
      <c r="G246" s="3">
        <v>2525.21</v>
      </c>
      <c r="H246" s="3">
        <v>26090.3</v>
      </c>
      <c r="I246" s="3">
        <v>1938.02</v>
      </c>
      <c r="J246" s="3">
        <v>35044.769999999997</v>
      </c>
      <c r="K246" s="3">
        <v>2373.9499999999998</v>
      </c>
      <c r="L246" s="3">
        <v>24652.54</v>
      </c>
      <c r="M246" s="3">
        <v>732.85</v>
      </c>
      <c r="N246" s="8">
        <v>24148.9</v>
      </c>
      <c r="O246" s="3">
        <v>1892.5074999999999</v>
      </c>
      <c r="P246" s="8">
        <v>27484.127499999995</v>
      </c>
      <c r="Q246" s="28">
        <f t="shared" si="3"/>
        <v>146883.17499999999</v>
      </c>
    </row>
    <row r="247" spans="1:17" ht="15" customHeight="1" x14ac:dyDescent="0.2">
      <c r="A247" s="1">
        <v>339</v>
      </c>
      <c r="B247" s="7" t="s">
        <v>43</v>
      </c>
      <c r="C247" s="7" t="s">
        <v>48</v>
      </c>
      <c r="D247" s="5"/>
      <c r="E247" s="2" t="s">
        <v>12</v>
      </c>
      <c r="F247" s="2" t="s">
        <v>12</v>
      </c>
      <c r="G247" s="3">
        <v>5644.76</v>
      </c>
      <c r="H247" s="3">
        <v>4721.1000000000004</v>
      </c>
      <c r="I247" s="3">
        <v>5316.08</v>
      </c>
      <c r="J247" s="3">
        <v>5431.72</v>
      </c>
      <c r="K247" s="3">
        <v>5068.0200000000004</v>
      </c>
      <c r="L247" s="3">
        <v>5432.22</v>
      </c>
      <c r="M247" s="3">
        <v>5102.18</v>
      </c>
      <c r="N247" s="8">
        <v>2879.48</v>
      </c>
      <c r="O247" s="3">
        <v>5282.76</v>
      </c>
      <c r="P247" s="8">
        <v>4616.13</v>
      </c>
      <c r="Q247" s="28">
        <f t="shared" si="3"/>
        <v>49494.450000000004</v>
      </c>
    </row>
    <row r="248" spans="1:17" ht="15" customHeight="1" x14ac:dyDescent="0.2">
      <c r="A248" s="1">
        <v>340</v>
      </c>
      <c r="B248" s="7" t="s">
        <v>43</v>
      </c>
      <c r="C248" s="7" t="s">
        <v>48</v>
      </c>
      <c r="D248" s="5"/>
      <c r="E248" s="26" t="s">
        <v>13</v>
      </c>
      <c r="F248" s="2" t="s">
        <v>13</v>
      </c>
      <c r="G248" s="3">
        <v>19222.41</v>
      </c>
      <c r="H248" s="3">
        <v>27143.67</v>
      </c>
      <c r="I248" s="3">
        <v>18051.71</v>
      </c>
      <c r="J248" s="3">
        <v>22458.61</v>
      </c>
      <c r="K248" s="3">
        <v>16603.2</v>
      </c>
      <c r="L248" s="3">
        <v>27245.97</v>
      </c>
      <c r="M248" s="3">
        <v>20256.45</v>
      </c>
      <c r="N248" s="8">
        <v>27851.7</v>
      </c>
      <c r="O248" s="3">
        <v>18533.442499999997</v>
      </c>
      <c r="P248" s="8">
        <v>26174.987499999999</v>
      </c>
      <c r="Q248" s="28">
        <f t="shared" si="3"/>
        <v>223542.15</v>
      </c>
    </row>
    <row r="249" spans="1:17" ht="15" customHeight="1" x14ac:dyDescent="0.2">
      <c r="A249" s="1">
        <v>341</v>
      </c>
      <c r="B249" s="7" t="s">
        <v>43</v>
      </c>
      <c r="C249" s="7" t="s">
        <v>48</v>
      </c>
      <c r="D249" s="5"/>
      <c r="E249" s="26" t="s">
        <v>14</v>
      </c>
      <c r="F249" s="2" t="s">
        <v>14</v>
      </c>
      <c r="G249" s="3">
        <v>14713.08</v>
      </c>
      <c r="H249" s="3">
        <v>13385.15</v>
      </c>
      <c r="I249" s="3">
        <v>13325.68</v>
      </c>
      <c r="J249" s="3">
        <v>12407.81</v>
      </c>
      <c r="K249" s="3">
        <v>12515.05</v>
      </c>
      <c r="L249" s="3">
        <v>11119.19</v>
      </c>
      <c r="M249" s="3">
        <v>13647.74</v>
      </c>
      <c r="N249" s="8">
        <v>11658.85</v>
      </c>
      <c r="O249" s="3">
        <v>13550.387499999999</v>
      </c>
      <c r="P249" s="8">
        <v>12142.75</v>
      </c>
      <c r="Q249" s="28">
        <f t="shared" si="3"/>
        <v>128465.68750000001</v>
      </c>
    </row>
    <row r="250" spans="1:17" ht="15" customHeight="1" x14ac:dyDescent="0.2">
      <c r="A250" s="1">
        <v>342</v>
      </c>
      <c r="B250" s="7" t="s">
        <v>43</v>
      </c>
      <c r="C250" s="7" t="s">
        <v>49</v>
      </c>
      <c r="D250" s="2" t="s">
        <v>7</v>
      </c>
      <c r="E250" s="2"/>
      <c r="F250" s="2" t="s">
        <v>7</v>
      </c>
      <c r="G250" s="3">
        <v>175685</v>
      </c>
      <c r="H250" s="3">
        <v>194946</v>
      </c>
      <c r="I250" s="3">
        <v>175573</v>
      </c>
      <c r="J250" s="3">
        <v>194930</v>
      </c>
      <c r="K250" s="3">
        <v>175443</v>
      </c>
      <c r="L250" s="3">
        <v>194912</v>
      </c>
      <c r="M250" s="3">
        <v>175295</v>
      </c>
      <c r="N250" s="8">
        <v>194852</v>
      </c>
      <c r="O250" s="3">
        <v>175499</v>
      </c>
      <c r="P250" s="8">
        <v>194910</v>
      </c>
      <c r="Q250" s="28">
        <f t="shared" si="3"/>
        <v>1852045</v>
      </c>
    </row>
    <row r="251" spans="1:17" ht="15" customHeight="1" x14ac:dyDescent="0.2">
      <c r="A251" s="1">
        <v>344</v>
      </c>
      <c r="B251" s="7" t="s">
        <v>43</v>
      </c>
      <c r="C251" s="7" t="s">
        <v>49</v>
      </c>
      <c r="D251" s="5"/>
      <c r="E251" s="2" t="s">
        <v>8</v>
      </c>
      <c r="F251" s="2" t="s">
        <v>8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308.33999999999997</v>
      </c>
      <c r="N251" s="8">
        <v>0</v>
      </c>
      <c r="O251" s="3">
        <v>77.084999999999994</v>
      </c>
      <c r="P251" s="8">
        <v>0</v>
      </c>
      <c r="Q251" s="28">
        <f t="shared" si="3"/>
        <v>385.42499999999995</v>
      </c>
    </row>
    <row r="252" spans="1:17" ht="15" customHeight="1" x14ac:dyDescent="0.2">
      <c r="A252" s="1">
        <v>346</v>
      </c>
      <c r="B252" s="7" t="s">
        <v>43</v>
      </c>
      <c r="C252" s="7" t="s">
        <v>49</v>
      </c>
      <c r="D252" s="5"/>
      <c r="E252" s="7"/>
      <c r="F252" s="2" t="s">
        <v>9</v>
      </c>
      <c r="G252" s="3">
        <v>129033.87</v>
      </c>
      <c r="H252" s="3">
        <v>112424.55</v>
      </c>
      <c r="I252" s="3">
        <v>129820.78</v>
      </c>
      <c r="J252" s="3">
        <v>114983.79</v>
      </c>
      <c r="K252" s="3">
        <v>135608.71</v>
      </c>
      <c r="L252" s="3">
        <v>118218.67</v>
      </c>
      <c r="M252" s="3">
        <v>132984.6</v>
      </c>
      <c r="N252" s="8">
        <v>123806.09</v>
      </c>
      <c r="O252" s="3">
        <v>131861.99</v>
      </c>
      <c r="P252" s="8">
        <v>117358.27499999999</v>
      </c>
      <c r="Q252" s="28">
        <f t="shared" si="3"/>
        <v>1246101.3249999997</v>
      </c>
    </row>
    <row r="253" spans="1:17" ht="15" customHeight="1" x14ac:dyDescent="0.2">
      <c r="A253" s="1">
        <v>347</v>
      </c>
      <c r="B253" s="7" t="s">
        <v>43</v>
      </c>
      <c r="C253" s="7" t="s">
        <v>49</v>
      </c>
      <c r="D253" s="5"/>
      <c r="E253" s="7"/>
      <c r="F253" s="2" t="s">
        <v>10</v>
      </c>
      <c r="G253" s="3">
        <v>225.85</v>
      </c>
      <c r="H253" s="3">
        <v>1266.95</v>
      </c>
      <c r="I253" s="3">
        <v>2517.12</v>
      </c>
      <c r="J253" s="3">
        <v>1160.22</v>
      </c>
      <c r="K253" s="3">
        <v>176.52</v>
      </c>
      <c r="L253" s="3">
        <v>2398.7199999999998</v>
      </c>
      <c r="M253" s="3">
        <v>0</v>
      </c>
      <c r="N253" s="8">
        <v>1693.71</v>
      </c>
      <c r="O253" s="3">
        <v>729.87249999999995</v>
      </c>
      <c r="P253" s="8">
        <v>1629.8999999999999</v>
      </c>
      <c r="Q253" s="28">
        <f t="shared" si="3"/>
        <v>11798.862499999999</v>
      </c>
    </row>
    <row r="254" spans="1:17" ht="15" customHeight="1" x14ac:dyDescent="0.2">
      <c r="A254" s="1">
        <v>349</v>
      </c>
      <c r="B254" s="7" t="s">
        <v>43</v>
      </c>
      <c r="C254" s="7" t="s">
        <v>49</v>
      </c>
      <c r="D254" s="5"/>
      <c r="E254" s="2" t="s">
        <v>11</v>
      </c>
      <c r="F254" s="2" t="s">
        <v>11</v>
      </c>
      <c r="G254" s="3">
        <v>712.41</v>
      </c>
      <c r="H254" s="3">
        <v>33789.19</v>
      </c>
      <c r="I254" s="3">
        <v>2027.38</v>
      </c>
      <c r="J254" s="3">
        <v>33392.949999999997</v>
      </c>
      <c r="K254" s="3">
        <v>3179.48</v>
      </c>
      <c r="L254" s="3">
        <v>32183.38</v>
      </c>
      <c r="M254" s="3">
        <v>1735</v>
      </c>
      <c r="N254" s="8">
        <v>23928.03</v>
      </c>
      <c r="O254" s="3">
        <v>1913.5675000000001</v>
      </c>
      <c r="P254" s="8">
        <v>30823.387500000001</v>
      </c>
      <c r="Q254" s="28">
        <f t="shared" si="3"/>
        <v>163684.77499999999</v>
      </c>
    </row>
    <row r="255" spans="1:17" ht="15" customHeight="1" x14ac:dyDescent="0.2">
      <c r="A255" s="1">
        <v>350</v>
      </c>
      <c r="B255" s="7" t="s">
        <v>43</v>
      </c>
      <c r="C255" s="7" t="s">
        <v>49</v>
      </c>
      <c r="D255" s="7"/>
      <c r="E255" s="2" t="s">
        <v>12</v>
      </c>
      <c r="F255" s="2" t="s">
        <v>12</v>
      </c>
      <c r="G255" s="3">
        <v>5436.43</v>
      </c>
      <c r="H255" s="3">
        <v>3785.98</v>
      </c>
      <c r="I255" s="3">
        <v>3649.89</v>
      </c>
      <c r="J255" s="3">
        <v>2481.4299999999998</v>
      </c>
      <c r="K255" s="3">
        <v>4576.51</v>
      </c>
      <c r="L255" s="3">
        <v>3067.49</v>
      </c>
      <c r="M255" s="3">
        <v>3224.81</v>
      </c>
      <c r="N255" s="8">
        <v>2628.89</v>
      </c>
      <c r="O255" s="3">
        <v>4221.91</v>
      </c>
      <c r="P255" s="8">
        <v>2990.9474999999998</v>
      </c>
      <c r="Q255" s="28">
        <f t="shared" si="3"/>
        <v>36064.287499999999</v>
      </c>
    </row>
    <row r="256" spans="1:17" ht="15" customHeight="1" x14ac:dyDescent="0.2">
      <c r="A256" s="1">
        <v>351</v>
      </c>
      <c r="B256" s="7" t="s">
        <v>43</v>
      </c>
      <c r="C256" s="7" t="s">
        <v>49</v>
      </c>
      <c r="D256" s="7"/>
      <c r="E256" s="2" t="s">
        <v>13</v>
      </c>
      <c r="F256" s="2" t="s">
        <v>13</v>
      </c>
      <c r="G256" s="3">
        <v>23721.87</v>
      </c>
      <c r="H256" s="3">
        <v>27315.81</v>
      </c>
      <c r="I256" s="3">
        <v>22749.99</v>
      </c>
      <c r="J256" s="3">
        <v>27875.75</v>
      </c>
      <c r="K256" s="3">
        <v>16383.8</v>
      </c>
      <c r="L256" s="3">
        <v>24273.53</v>
      </c>
      <c r="M256" s="3">
        <v>18628.080000000002</v>
      </c>
      <c r="N256" s="8">
        <v>24511.46</v>
      </c>
      <c r="O256" s="3">
        <v>20370.935000000001</v>
      </c>
      <c r="P256" s="8">
        <v>25994.137499999997</v>
      </c>
      <c r="Q256" s="28">
        <f t="shared" si="3"/>
        <v>231825.36249999999</v>
      </c>
    </row>
    <row r="257" spans="1:17" ht="15" customHeight="1" x14ac:dyDescent="0.2">
      <c r="A257" s="1">
        <v>352</v>
      </c>
      <c r="B257" s="7" t="s">
        <v>43</v>
      </c>
      <c r="C257" s="7" t="s">
        <v>49</v>
      </c>
      <c r="D257" s="5"/>
      <c r="E257" s="2" t="s">
        <v>14</v>
      </c>
      <c r="F257" s="2" t="s">
        <v>14</v>
      </c>
      <c r="G257" s="3">
        <v>16554.57</v>
      </c>
      <c r="H257" s="3">
        <v>16363.52</v>
      </c>
      <c r="I257" s="3">
        <v>14807.83</v>
      </c>
      <c r="J257" s="3">
        <v>15035.85</v>
      </c>
      <c r="K257" s="3">
        <v>15517.98</v>
      </c>
      <c r="L257" s="3">
        <v>14770.2</v>
      </c>
      <c r="M257" s="3">
        <v>18414.169999999998</v>
      </c>
      <c r="N257" s="8">
        <v>18283.830000000002</v>
      </c>
      <c r="O257" s="3">
        <v>16323.637500000001</v>
      </c>
      <c r="P257" s="8">
        <v>16113.350000000002</v>
      </c>
      <c r="Q257" s="28">
        <f t="shared" si="3"/>
        <v>162184.9375</v>
      </c>
    </row>
    <row r="258" spans="1:17" ht="15" customHeight="1" x14ac:dyDescent="0.2">
      <c r="A258" s="1">
        <v>353</v>
      </c>
      <c r="B258" s="7" t="s">
        <v>43</v>
      </c>
      <c r="C258" s="7" t="s">
        <v>50</v>
      </c>
      <c r="D258" s="26" t="s">
        <v>7</v>
      </c>
      <c r="E258" s="2"/>
      <c r="F258" s="2" t="s">
        <v>7</v>
      </c>
      <c r="G258" s="3">
        <v>144561</v>
      </c>
      <c r="H258" s="3">
        <v>160389</v>
      </c>
      <c r="I258" s="3">
        <v>144115</v>
      </c>
      <c r="J258" s="3">
        <v>159999</v>
      </c>
      <c r="K258" s="3">
        <v>143676</v>
      </c>
      <c r="L258" s="3">
        <v>159599</v>
      </c>
      <c r="M258" s="3">
        <v>143218</v>
      </c>
      <c r="N258" s="8">
        <v>159187</v>
      </c>
      <c r="O258" s="3">
        <v>143892.5</v>
      </c>
      <c r="P258" s="8">
        <v>159793.5</v>
      </c>
      <c r="Q258" s="28">
        <f t="shared" si="3"/>
        <v>1518430</v>
      </c>
    </row>
    <row r="259" spans="1:17" ht="15" customHeight="1" x14ac:dyDescent="0.2">
      <c r="A259" s="1">
        <v>355</v>
      </c>
      <c r="B259" s="7" t="s">
        <v>43</v>
      </c>
      <c r="C259" s="7" t="s">
        <v>50</v>
      </c>
      <c r="D259" s="5"/>
      <c r="E259" s="26" t="s">
        <v>8</v>
      </c>
      <c r="F259" s="2" t="s">
        <v>8</v>
      </c>
      <c r="G259" s="3">
        <v>1742.25</v>
      </c>
      <c r="H259" s="3">
        <v>603.83000000000004</v>
      </c>
      <c r="I259" s="3">
        <v>1629.1</v>
      </c>
      <c r="J259" s="3">
        <v>1308.7</v>
      </c>
      <c r="K259" s="3">
        <v>0</v>
      </c>
      <c r="L259" s="3">
        <v>156.44999999999999</v>
      </c>
      <c r="M259" s="3">
        <v>2526.48</v>
      </c>
      <c r="N259" s="8">
        <v>695.37</v>
      </c>
      <c r="O259" s="3">
        <v>1474.4575</v>
      </c>
      <c r="P259" s="8">
        <v>691.08749999999998</v>
      </c>
      <c r="Q259" s="28">
        <f t="shared" ref="Q259:Q322" si="4">SUM(G259:P259)</f>
        <v>10827.725</v>
      </c>
    </row>
    <row r="260" spans="1:17" ht="15" customHeight="1" x14ac:dyDescent="0.2">
      <c r="A260" s="1">
        <v>357</v>
      </c>
      <c r="B260" s="7" t="s">
        <v>43</v>
      </c>
      <c r="C260" s="7" t="s">
        <v>50</v>
      </c>
      <c r="D260" s="5"/>
      <c r="E260" s="5"/>
      <c r="F260" s="2" t="s">
        <v>9</v>
      </c>
      <c r="G260" s="3">
        <v>98527.360000000001</v>
      </c>
      <c r="H260" s="3">
        <v>79522.710000000006</v>
      </c>
      <c r="I260" s="3">
        <v>99748.4</v>
      </c>
      <c r="J260" s="3">
        <v>79866.77</v>
      </c>
      <c r="K260" s="3">
        <v>98352.48</v>
      </c>
      <c r="L260" s="3">
        <v>78209.78</v>
      </c>
      <c r="M260" s="3">
        <v>96756.6</v>
      </c>
      <c r="N260" s="8">
        <v>74194.63</v>
      </c>
      <c r="O260" s="3">
        <v>98346.209999999992</v>
      </c>
      <c r="P260" s="8">
        <v>77948.472500000003</v>
      </c>
      <c r="Q260" s="28">
        <f t="shared" si="4"/>
        <v>881473.41249999998</v>
      </c>
    </row>
    <row r="261" spans="1:17" ht="15" customHeight="1" x14ac:dyDescent="0.2">
      <c r="A261" s="1">
        <v>358</v>
      </c>
      <c r="B261" s="7" t="s">
        <v>43</v>
      </c>
      <c r="C261" s="7" t="s">
        <v>50</v>
      </c>
      <c r="D261" s="7"/>
      <c r="E261" s="7"/>
      <c r="F261" s="2" t="s">
        <v>10</v>
      </c>
      <c r="G261" s="3">
        <v>591.5</v>
      </c>
      <c r="H261" s="3">
        <v>1481.27</v>
      </c>
      <c r="I261" s="3">
        <v>399.4</v>
      </c>
      <c r="J261" s="3">
        <v>283.19</v>
      </c>
      <c r="K261" s="3">
        <v>1644.25</v>
      </c>
      <c r="L261" s="3">
        <v>773.72</v>
      </c>
      <c r="M261" s="3">
        <v>1941.2</v>
      </c>
      <c r="N261" s="8">
        <v>915.88</v>
      </c>
      <c r="O261" s="3">
        <v>1144.0875000000001</v>
      </c>
      <c r="P261" s="8">
        <v>863.5150000000001</v>
      </c>
      <c r="Q261" s="28">
        <f t="shared" si="4"/>
        <v>10038.012500000001</v>
      </c>
    </row>
    <row r="262" spans="1:17" ht="15" customHeight="1" x14ac:dyDescent="0.2">
      <c r="A262" s="1">
        <v>360</v>
      </c>
      <c r="B262" s="7" t="s">
        <v>43</v>
      </c>
      <c r="C262" s="7" t="s">
        <v>50</v>
      </c>
      <c r="D262" s="5"/>
      <c r="E262" s="2" t="s">
        <v>11</v>
      </c>
      <c r="F262" s="2" t="s">
        <v>11</v>
      </c>
      <c r="G262" s="3">
        <v>2349.63</v>
      </c>
      <c r="H262" s="3">
        <v>29224.19</v>
      </c>
      <c r="I262" s="3">
        <v>1681.18</v>
      </c>
      <c r="J262" s="3">
        <v>25537.52</v>
      </c>
      <c r="K262" s="3">
        <v>4247.95</v>
      </c>
      <c r="L262" s="3">
        <v>29680.49</v>
      </c>
      <c r="M262" s="3">
        <v>2226.9899999999998</v>
      </c>
      <c r="N262" s="8">
        <v>34019.160000000003</v>
      </c>
      <c r="O262" s="3">
        <v>2626.4375</v>
      </c>
      <c r="P262" s="8">
        <v>29615.34</v>
      </c>
      <c r="Q262" s="28">
        <f t="shared" si="4"/>
        <v>161208.88750000001</v>
      </c>
    </row>
    <row r="263" spans="1:17" ht="15" customHeight="1" x14ac:dyDescent="0.2">
      <c r="A263" s="1">
        <v>361</v>
      </c>
      <c r="B263" s="7" t="s">
        <v>43</v>
      </c>
      <c r="C263" s="7" t="s">
        <v>50</v>
      </c>
      <c r="D263" s="5"/>
      <c r="E263" s="2" t="s">
        <v>12</v>
      </c>
      <c r="F263" s="2" t="s">
        <v>12</v>
      </c>
      <c r="G263" s="3">
        <v>7270.7</v>
      </c>
      <c r="H263" s="3">
        <v>4192.88</v>
      </c>
      <c r="I263" s="3">
        <v>5065.7</v>
      </c>
      <c r="J263" s="3">
        <v>3963.73</v>
      </c>
      <c r="K263" s="3">
        <v>4084.15</v>
      </c>
      <c r="L263" s="3">
        <v>3005.72</v>
      </c>
      <c r="M263" s="3">
        <v>6165.6</v>
      </c>
      <c r="N263" s="8">
        <v>2918.17</v>
      </c>
      <c r="O263" s="3">
        <v>5646.5375000000004</v>
      </c>
      <c r="P263" s="8">
        <v>3520.125</v>
      </c>
      <c r="Q263" s="28">
        <f t="shared" si="4"/>
        <v>45833.3125</v>
      </c>
    </row>
    <row r="264" spans="1:17" ht="15" customHeight="1" x14ac:dyDescent="0.2">
      <c r="A264" s="1">
        <v>362</v>
      </c>
      <c r="B264" s="7" t="s">
        <v>43</v>
      </c>
      <c r="C264" s="7" t="s">
        <v>50</v>
      </c>
      <c r="D264" s="5"/>
      <c r="E264" s="2" t="s">
        <v>13</v>
      </c>
      <c r="F264" s="2" t="s">
        <v>13</v>
      </c>
      <c r="G264" s="3">
        <v>20050.62</v>
      </c>
      <c r="H264" s="3">
        <v>29800.12</v>
      </c>
      <c r="I264" s="3">
        <v>21641.42</v>
      </c>
      <c r="J264" s="3">
        <v>34563.35</v>
      </c>
      <c r="K264" s="3">
        <v>21460.880000000001</v>
      </c>
      <c r="L264" s="3">
        <v>32146.37</v>
      </c>
      <c r="M264" s="3">
        <v>20451.939999999999</v>
      </c>
      <c r="N264" s="8">
        <v>32762.3</v>
      </c>
      <c r="O264" s="3">
        <v>20901.215</v>
      </c>
      <c r="P264" s="8">
        <v>32318.035</v>
      </c>
      <c r="Q264" s="28">
        <f t="shared" si="4"/>
        <v>266096.25</v>
      </c>
    </row>
    <row r="265" spans="1:17" ht="15" customHeight="1" x14ac:dyDescent="0.2">
      <c r="A265" s="1">
        <v>363</v>
      </c>
      <c r="B265" s="7" t="s">
        <v>43</v>
      </c>
      <c r="C265" s="7" t="s">
        <v>50</v>
      </c>
      <c r="D265" s="5"/>
      <c r="E265" s="2" t="s">
        <v>14</v>
      </c>
      <c r="F265" s="2" t="s">
        <v>14</v>
      </c>
      <c r="G265" s="3">
        <v>14028.93</v>
      </c>
      <c r="H265" s="3">
        <v>15564</v>
      </c>
      <c r="I265" s="3">
        <v>13949.8</v>
      </c>
      <c r="J265" s="3">
        <v>14475.74</v>
      </c>
      <c r="K265" s="3">
        <v>13886.29</v>
      </c>
      <c r="L265" s="3">
        <v>15626.46</v>
      </c>
      <c r="M265" s="3">
        <v>13149.19</v>
      </c>
      <c r="N265" s="8">
        <v>13681.48</v>
      </c>
      <c r="O265" s="3">
        <v>13753.552500000002</v>
      </c>
      <c r="P265" s="8">
        <v>14836.919999999998</v>
      </c>
      <c r="Q265" s="28">
        <f t="shared" si="4"/>
        <v>142952.36249999999</v>
      </c>
    </row>
    <row r="266" spans="1:17" ht="15" customHeight="1" x14ac:dyDescent="0.2">
      <c r="A266" s="1">
        <v>364</v>
      </c>
      <c r="B266" s="7" t="s">
        <v>43</v>
      </c>
      <c r="C266" s="25" t="s">
        <v>51</v>
      </c>
      <c r="D266" s="2" t="s">
        <v>7</v>
      </c>
      <c r="E266" s="2"/>
      <c r="F266" s="2" t="s">
        <v>7</v>
      </c>
      <c r="G266" s="3">
        <v>456077</v>
      </c>
      <c r="H266" s="3">
        <v>505742</v>
      </c>
      <c r="I266" s="3">
        <v>455797</v>
      </c>
      <c r="J266" s="3">
        <v>505745</v>
      </c>
      <c r="K266" s="3">
        <v>455508</v>
      </c>
      <c r="L266" s="3">
        <v>505728</v>
      </c>
      <c r="M266" s="3">
        <v>455156</v>
      </c>
      <c r="N266" s="8">
        <v>505618</v>
      </c>
      <c r="O266" s="3">
        <v>455634.5</v>
      </c>
      <c r="P266" s="8">
        <v>505708.25</v>
      </c>
      <c r="Q266" s="28">
        <f t="shared" si="4"/>
        <v>4806713.75</v>
      </c>
    </row>
    <row r="267" spans="1:17" ht="15" customHeight="1" x14ac:dyDescent="0.2">
      <c r="A267" s="1">
        <v>366</v>
      </c>
      <c r="B267" s="7" t="s">
        <v>43</v>
      </c>
      <c r="C267" s="25" t="s">
        <v>51</v>
      </c>
      <c r="D267" s="7"/>
      <c r="E267" s="2" t="s">
        <v>8</v>
      </c>
      <c r="F267" s="2" t="s">
        <v>8</v>
      </c>
      <c r="G267" s="3">
        <v>1063.72</v>
      </c>
      <c r="H267" s="3">
        <v>0</v>
      </c>
      <c r="I267" s="3">
        <v>2182.27</v>
      </c>
      <c r="J267" s="3">
        <v>599.78</v>
      </c>
      <c r="K267" s="3">
        <v>6260.97</v>
      </c>
      <c r="L267" s="3">
        <v>1586.42</v>
      </c>
      <c r="M267" s="3">
        <v>0</v>
      </c>
      <c r="N267" s="8">
        <v>0</v>
      </c>
      <c r="O267" s="3">
        <v>2376.7399999999998</v>
      </c>
      <c r="P267" s="8">
        <v>546.54999999999995</v>
      </c>
      <c r="Q267" s="28">
        <f t="shared" si="4"/>
        <v>14616.449999999999</v>
      </c>
    </row>
    <row r="268" spans="1:17" ht="15" customHeight="1" x14ac:dyDescent="0.2">
      <c r="A268" s="1">
        <v>368</v>
      </c>
      <c r="B268" s="7" t="s">
        <v>43</v>
      </c>
      <c r="C268" s="25" t="s">
        <v>51</v>
      </c>
      <c r="D268" s="5"/>
      <c r="E268" s="7"/>
      <c r="F268" s="2" t="s">
        <v>9</v>
      </c>
      <c r="G268" s="3">
        <v>351281.13</v>
      </c>
      <c r="H268" s="3">
        <v>289681.82</v>
      </c>
      <c r="I268" s="3">
        <v>337211.28</v>
      </c>
      <c r="J268" s="3">
        <v>277800.03000000003</v>
      </c>
      <c r="K268" s="3">
        <v>328709.3</v>
      </c>
      <c r="L268" s="3">
        <v>271067.52000000002</v>
      </c>
      <c r="M268" s="3">
        <v>349310.32</v>
      </c>
      <c r="N268" s="8">
        <v>265183.52</v>
      </c>
      <c r="O268" s="3">
        <v>341628.00750000001</v>
      </c>
      <c r="P268" s="8">
        <v>275933.22250000003</v>
      </c>
      <c r="Q268" s="28">
        <f t="shared" si="4"/>
        <v>3087806.15</v>
      </c>
    </row>
    <row r="269" spans="1:17" ht="15" customHeight="1" x14ac:dyDescent="0.2">
      <c r="A269" s="1">
        <v>369</v>
      </c>
      <c r="B269" s="7" t="s">
        <v>43</v>
      </c>
      <c r="C269" s="25" t="s">
        <v>51</v>
      </c>
      <c r="D269" s="5"/>
      <c r="E269" s="7"/>
      <c r="F269" s="2" t="s">
        <v>10</v>
      </c>
      <c r="G269" s="3">
        <v>534.61</v>
      </c>
      <c r="H269" s="3">
        <v>1214.18</v>
      </c>
      <c r="I269" s="3">
        <v>0</v>
      </c>
      <c r="J269" s="3">
        <v>0</v>
      </c>
      <c r="K269" s="3">
        <v>643.96</v>
      </c>
      <c r="L269" s="3">
        <v>0</v>
      </c>
      <c r="M269" s="3">
        <v>0</v>
      </c>
      <c r="N269" s="8">
        <v>907.35</v>
      </c>
      <c r="O269" s="3">
        <v>294.64250000000004</v>
      </c>
      <c r="P269" s="8">
        <v>530.38250000000005</v>
      </c>
      <c r="Q269" s="28">
        <f t="shared" si="4"/>
        <v>4125.125</v>
      </c>
    </row>
    <row r="270" spans="1:17" ht="15" customHeight="1" x14ac:dyDescent="0.2">
      <c r="A270" s="1">
        <v>371</v>
      </c>
      <c r="B270" s="7" t="s">
        <v>43</v>
      </c>
      <c r="C270" s="25" t="s">
        <v>51</v>
      </c>
      <c r="D270" s="5"/>
      <c r="E270" s="26" t="s">
        <v>11</v>
      </c>
      <c r="F270" s="2" t="s">
        <v>11</v>
      </c>
      <c r="G270" s="3">
        <v>2685.67</v>
      </c>
      <c r="H270" s="3">
        <v>87387.48</v>
      </c>
      <c r="I270" s="3">
        <v>2268.65</v>
      </c>
      <c r="J270" s="3">
        <v>102530.31</v>
      </c>
      <c r="K270" s="3">
        <v>1561.17</v>
      </c>
      <c r="L270" s="3">
        <v>106904.94</v>
      </c>
      <c r="M270" s="3">
        <v>4076.16</v>
      </c>
      <c r="N270" s="8">
        <v>110003.85</v>
      </c>
      <c r="O270" s="3">
        <v>2647.9124999999999</v>
      </c>
      <c r="P270" s="8">
        <v>101706.64499999999</v>
      </c>
      <c r="Q270" s="28">
        <f t="shared" si="4"/>
        <v>521772.78749999998</v>
      </c>
    </row>
    <row r="271" spans="1:17" ht="15" customHeight="1" x14ac:dyDescent="0.2">
      <c r="A271" s="1">
        <v>372</v>
      </c>
      <c r="B271" s="7" t="s">
        <v>43</v>
      </c>
      <c r="C271" s="25" t="s">
        <v>51</v>
      </c>
      <c r="D271" s="5"/>
      <c r="E271" s="26" t="s">
        <v>12</v>
      </c>
      <c r="F271" s="2" t="s">
        <v>12</v>
      </c>
      <c r="G271" s="3">
        <v>10691.39</v>
      </c>
      <c r="H271" s="3">
        <v>10207.33</v>
      </c>
      <c r="I271" s="3">
        <v>17184.509999999998</v>
      </c>
      <c r="J271" s="3">
        <v>5125.24</v>
      </c>
      <c r="K271" s="3">
        <v>16621.16</v>
      </c>
      <c r="L271" s="3">
        <v>5984.87</v>
      </c>
      <c r="M271" s="3">
        <v>6878.1</v>
      </c>
      <c r="N271" s="8">
        <v>6639.18</v>
      </c>
      <c r="O271" s="3">
        <v>12843.789999999999</v>
      </c>
      <c r="P271" s="8">
        <v>6989.1549999999997</v>
      </c>
      <c r="Q271" s="28">
        <f t="shared" si="4"/>
        <v>99164.724999999991</v>
      </c>
    </row>
    <row r="272" spans="1:17" ht="15" customHeight="1" x14ac:dyDescent="0.2">
      <c r="A272" s="1">
        <v>373</v>
      </c>
      <c r="B272" s="7" t="s">
        <v>43</v>
      </c>
      <c r="C272" s="25" t="s">
        <v>51</v>
      </c>
      <c r="D272" s="7"/>
      <c r="E272" s="2" t="s">
        <v>13</v>
      </c>
      <c r="F272" s="2" t="s">
        <v>13</v>
      </c>
      <c r="G272" s="3">
        <v>52399.77</v>
      </c>
      <c r="H272" s="3">
        <v>74465.710000000006</v>
      </c>
      <c r="I272" s="3">
        <v>55360.38</v>
      </c>
      <c r="J272" s="3">
        <v>76488.34</v>
      </c>
      <c r="K272" s="3">
        <v>62380.07</v>
      </c>
      <c r="L272" s="3">
        <v>80445.03</v>
      </c>
      <c r="M272" s="3">
        <v>58058.11</v>
      </c>
      <c r="N272" s="8">
        <v>73917.179999999993</v>
      </c>
      <c r="O272" s="3">
        <v>57049.582500000004</v>
      </c>
      <c r="P272" s="8">
        <v>76329.065000000002</v>
      </c>
      <c r="Q272" s="28">
        <f t="shared" si="4"/>
        <v>666893.23750000005</v>
      </c>
    </row>
    <row r="273" spans="1:17" ht="15" customHeight="1" x14ac:dyDescent="0.2">
      <c r="A273" s="1">
        <v>374</v>
      </c>
      <c r="B273" s="7" t="s">
        <v>43</v>
      </c>
      <c r="C273" s="25" t="s">
        <v>51</v>
      </c>
      <c r="D273" s="5"/>
      <c r="E273" s="2" t="s">
        <v>14</v>
      </c>
      <c r="F273" s="2" t="s">
        <v>14</v>
      </c>
      <c r="G273" s="3">
        <v>37420.71</v>
      </c>
      <c r="H273" s="3">
        <v>42785.48</v>
      </c>
      <c r="I273" s="3">
        <v>41589.919999999998</v>
      </c>
      <c r="J273" s="3">
        <v>43201.3</v>
      </c>
      <c r="K273" s="3">
        <v>39331.370000000003</v>
      </c>
      <c r="L273" s="3">
        <v>39739.22</v>
      </c>
      <c r="M273" s="3">
        <v>36833.31</v>
      </c>
      <c r="N273" s="8">
        <v>48966.91</v>
      </c>
      <c r="O273" s="3">
        <v>38793.827499999999</v>
      </c>
      <c r="P273" s="8">
        <v>43673.227500000001</v>
      </c>
      <c r="Q273" s="28">
        <f t="shared" si="4"/>
        <v>412335.27499999997</v>
      </c>
    </row>
    <row r="274" spans="1:17" ht="15" customHeight="1" x14ac:dyDescent="0.2">
      <c r="A274" s="1">
        <v>375</v>
      </c>
      <c r="B274" s="7" t="s">
        <v>43</v>
      </c>
      <c r="C274" s="7" t="s">
        <v>52</v>
      </c>
      <c r="D274" s="26" t="s">
        <v>7</v>
      </c>
      <c r="E274" s="2"/>
      <c r="F274" s="2" t="s">
        <v>7</v>
      </c>
      <c r="G274" s="3">
        <v>97720</v>
      </c>
      <c r="H274" s="3">
        <v>108404</v>
      </c>
      <c r="I274" s="3">
        <v>97940</v>
      </c>
      <c r="J274" s="3">
        <v>108710</v>
      </c>
      <c r="K274" s="3">
        <v>98147</v>
      </c>
      <c r="L274" s="3">
        <v>109007</v>
      </c>
      <c r="M274" s="3">
        <v>98343</v>
      </c>
      <c r="N274" s="8">
        <v>109291</v>
      </c>
      <c r="O274" s="3">
        <v>98037.5</v>
      </c>
      <c r="P274" s="8">
        <v>108853</v>
      </c>
      <c r="Q274" s="28">
        <f t="shared" si="4"/>
        <v>1034452.5</v>
      </c>
    </row>
    <row r="275" spans="1:17" ht="15" customHeight="1" x14ac:dyDescent="0.2">
      <c r="A275" s="1">
        <v>377</v>
      </c>
      <c r="B275" s="7" t="s">
        <v>43</v>
      </c>
      <c r="C275" s="7" t="s">
        <v>52</v>
      </c>
      <c r="D275" s="5"/>
      <c r="E275" s="2" t="s">
        <v>8</v>
      </c>
      <c r="F275" s="2" t="s">
        <v>8</v>
      </c>
      <c r="G275" s="3">
        <v>1543.46</v>
      </c>
      <c r="H275" s="3">
        <v>1464.86</v>
      </c>
      <c r="I275" s="3">
        <v>2244.06</v>
      </c>
      <c r="J275" s="3">
        <v>1785.9</v>
      </c>
      <c r="K275" s="3">
        <v>0</v>
      </c>
      <c r="L275" s="3">
        <v>25.93</v>
      </c>
      <c r="M275" s="3">
        <v>574.13</v>
      </c>
      <c r="N275" s="8">
        <v>831.76</v>
      </c>
      <c r="O275" s="3">
        <v>1090.4124999999999</v>
      </c>
      <c r="P275" s="8">
        <v>1027.1125</v>
      </c>
      <c r="Q275" s="28">
        <f t="shared" si="4"/>
        <v>10587.624999999998</v>
      </c>
    </row>
    <row r="276" spans="1:17" ht="15" customHeight="1" x14ac:dyDescent="0.2">
      <c r="A276" s="1">
        <v>379</v>
      </c>
      <c r="B276" s="7" t="s">
        <v>43</v>
      </c>
      <c r="C276" s="7" t="s">
        <v>52</v>
      </c>
      <c r="D276" s="5"/>
      <c r="E276" s="7"/>
      <c r="F276" s="2" t="s">
        <v>9</v>
      </c>
      <c r="G276" s="3">
        <v>74915.08</v>
      </c>
      <c r="H276" s="3">
        <v>65529.440000000002</v>
      </c>
      <c r="I276" s="3">
        <v>74068.36</v>
      </c>
      <c r="J276" s="3">
        <v>66692.17</v>
      </c>
      <c r="K276" s="3">
        <v>75680.72</v>
      </c>
      <c r="L276" s="3">
        <v>70158.179999999993</v>
      </c>
      <c r="M276" s="3">
        <v>77579.12</v>
      </c>
      <c r="N276" s="8">
        <v>70688.31</v>
      </c>
      <c r="O276" s="3">
        <v>75560.820000000007</v>
      </c>
      <c r="P276" s="8">
        <v>68267.024999999994</v>
      </c>
      <c r="Q276" s="28">
        <f t="shared" si="4"/>
        <v>719139.22499999998</v>
      </c>
    </row>
    <row r="277" spans="1:17" ht="15" customHeight="1" x14ac:dyDescent="0.2">
      <c r="A277" s="1">
        <v>380</v>
      </c>
      <c r="B277" s="7" t="s">
        <v>43</v>
      </c>
      <c r="C277" s="7" t="s">
        <v>52</v>
      </c>
      <c r="D277" s="7"/>
      <c r="E277" s="7"/>
      <c r="F277" s="2" t="s">
        <v>10</v>
      </c>
      <c r="G277" s="3">
        <v>155.57</v>
      </c>
      <c r="H277" s="3">
        <v>547.08000000000004</v>
      </c>
      <c r="I277" s="3">
        <v>177.77</v>
      </c>
      <c r="J277" s="3">
        <v>234.11</v>
      </c>
      <c r="K277" s="3">
        <v>937.79</v>
      </c>
      <c r="L277" s="3">
        <v>473.41</v>
      </c>
      <c r="M277" s="3">
        <v>272.74</v>
      </c>
      <c r="N277" s="8">
        <v>168.25</v>
      </c>
      <c r="O277" s="3">
        <v>385.96750000000003</v>
      </c>
      <c r="P277" s="8">
        <v>355.71250000000003</v>
      </c>
      <c r="Q277" s="28">
        <f t="shared" si="4"/>
        <v>3708.4000000000005</v>
      </c>
    </row>
    <row r="278" spans="1:17" ht="15" customHeight="1" x14ac:dyDescent="0.2">
      <c r="A278" s="1">
        <v>382</v>
      </c>
      <c r="B278" s="7" t="s">
        <v>43</v>
      </c>
      <c r="C278" s="7" t="s">
        <v>52</v>
      </c>
      <c r="D278" s="7"/>
      <c r="E278" s="2" t="s">
        <v>11</v>
      </c>
      <c r="F278" s="2" t="s">
        <v>11</v>
      </c>
      <c r="G278" s="3">
        <v>560.73</v>
      </c>
      <c r="H278" s="3">
        <v>12557.97</v>
      </c>
      <c r="I278" s="3">
        <v>343.7</v>
      </c>
      <c r="J278" s="3">
        <v>15495.29</v>
      </c>
      <c r="K278" s="3">
        <v>473.74</v>
      </c>
      <c r="L278" s="3">
        <v>12288.78</v>
      </c>
      <c r="M278" s="3">
        <v>623.32000000000005</v>
      </c>
      <c r="N278" s="8">
        <v>9234.61</v>
      </c>
      <c r="O278" s="3">
        <v>500.37250000000006</v>
      </c>
      <c r="P278" s="8">
        <v>12394.1625</v>
      </c>
      <c r="Q278" s="28">
        <f t="shared" si="4"/>
        <v>64472.675000000003</v>
      </c>
    </row>
    <row r="279" spans="1:17" ht="15" customHeight="1" x14ac:dyDescent="0.2">
      <c r="A279" s="1">
        <v>383</v>
      </c>
      <c r="B279" s="7" t="s">
        <v>43</v>
      </c>
      <c r="C279" s="7" t="s">
        <v>52</v>
      </c>
      <c r="D279" s="5"/>
      <c r="E279" s="2" t="s">
        <v>12</v>
      </c>
      <c r="F279" s="2" t="s">
        <v>12</v>
      </c>
      <c r="G279" s="3">
        <v>1595.75</v>
      </c>
      <c r="H279" s="3">
        <v>830.86</v>
      </c>
      <c r="I279" s="3">
        <v>2972.05</v>
      </c>
      <c r="J279" s="3">
        <v>1631.45</v>
      </c>
      <c r="K279" s="3">
        <v>3002.69</v>
      </c>
      <c r="L279" s="3">
        <v>1549.36</v>
      </c>
      <c r="M279" s="3">
        <v>1635.97</v>
      </c>
      <c r="N279" s="8">
        <v>1316.47</v>
      </c>
      <c r="O279" s="3">
        <v>2301.6149999999998</v>
      </c>
      <c r="P279" s="8">
        <v>1332.0350000000001</v>
      </c>
      <c r="Q279" s="28">
        <f t="shared" si="4"/>
        <v>18168.249999999996</v>
      </c>
    </row>
    <row r="280" spans="1:17" ht="15" customHeight="1" x14ac:dyDescent="0.2">
      <c r="A280" s="1">
        <v>384</v>
      </c>
      <c r="B280" s="7" t="s">
        <v>43</v>
      </c>
      <c r="C280" s="7" t="s">
        <v>52</v>
      </c>
      <c r="D280" s="5"/>
      <c r="E280" s="2" t="s">
        <v>13</v>
      </c>
      <c r="F280" s="2" t="s">
        <v>13</v>
      </c>
      <c r="G280" s="3">
        <v>13988.72</v>
      </c>
      <c r="H280" s="3">
        <v>22203.27</v>
      </c>
      <c r="I280" s="3">
        <v>12183.41</v>
      </c>
      <c r="J280" s="3">
        <v>16695.3</v>
      </c>
      <c r="K280" s="3">
        <v>13298.98</v>
      </c>
      <c r="L280" s="3">
        <v>18514.310000000001</v>
      </c>
      <c r="M280" s="3">
        <v>14544.79</v>
      </c>
      <c r="N280" s="8">
        <v>21014.26</v>
      </c>
      <c r="O280" s="3">
        <v>13503.975</v>
      </c>
      <c r="P280" s="8">
        <v>19606.785</v>
      </c>
      <c r="Q280" s="28">
        <f t="shared" si="4"/>
        <v>165553.80000000002</v>
      </c>
    </row>
    <row r="281" spans="1:17" ht="15" customHeight="1" x14ac:dyDescent="0.2">
      <c r="A281" s="1">
        <v>385</v>
      </c>
      <c r="B281" s="7" t="s">
        <v>43</v>
      </c>
      <c r="C281" s="7" t="s">
        <v>52</v>
      </c>
      <c r="D281" s="5"/>
      <c r="E281" s="26" t="s">
        <v>14</v>
      </c>
      <c r="F281" s="2" t="s">
        <v>14</v>
      </c>
      <c r="G281" s="3">
        <v>4960.7</v>
      </c>
      <c r="H281" s="3">
        <v>5270.53</v>
      </c>
      <c r="I281" s="3">
        <v>5950.65</v>
      </c>
      <c r="J281" s="3">
        <v>6175.79</v>
      </c>
      <c r="K281" s="3">
        <v>4753.08</v>
      </c>
      <c r="L281" s="3">
        <v>5997.03</v>
      </c>
      <c r="M281" s="3">
        <v>3112.92</v>
      </c>
      <c r="N281" s="8">
        <v>6037.35</v>
      </c>
      <c r="O281" s="3">
        <v>4694.3374999999996</v>
      </c>
      <c r="P281" s="8">
        <v>5870.1749999999993</v>
      </c>
      <c r="Q281" s="28">
        <f t="shared" si="4"/>
        <v>52822.5625</v>
      </c>
    </row>
    <row r="282" spans="1:17" ht="15" customHeight="1" x14ac:dyDescent="0.2">
      <c r="A282" s="1">
        <v>386</v>
      </c>
      <c r="B282" s="7" t="s">
        <v>43</v>
      </c>
      <c r="C282" s="7" t="s">
        <v>53</v>
      </c>
      <c r="D282" s="26" t="s">
        <v>7</v>
      </c>
      <c r="E282" s="26"/>
      <c r="F282" s="2" t="s">
        <v>7</v>
      </c>
      <c r="G282" s="3">
        <v>362580</v>
      </c>
      <c r="H282" s="3">
        <v>402172</v>
      </c>
      <c r="I282" s="3">
        <v>361948</v>
      </c>
      <c r="J282" s="3">
        <v>401720</v>
      </c>
      <c r="K282" s="3">
        <v>361305</v>
      </c>
      <c r="L282" s="3">
        <v>401248</v>
      </c>
      <c r="M282" s="3">
        <v>360633</v>
      </c>
      <c r="N282" s="8">
        <v>400717</v>
      </c>
      <c r="O282" s="3">
        <v>361616.5</v>
      </c>
      <c r="P282" s="8">
        <v>401464.25</v>
      </c>
      <c r="Q282" s="28">
        <f t="shared" si="4"/>
        <v>3815403.75</v>
      </c>
    </row>
    <row r="283" spans="1:17" ht="15" customHeight="1" x14ac:dyDescent="0.2">
      <c r="A283" s="1">
        <v>388</v>
      </c>
      <c r="B283" s="7" t="s">
        <v>43</v>
      </c>
      <c r="C283" s="7" t="s">
        <v>53</v>
      </c>
      <c r="D283" s="7"/>
      <c r="E283" s="2" t="s">
        <v>8</v>
      </c>
      <c r="F283" s="2" t="s">
        <v>8</v>
      </c>
      <c r="G283" s="3">
        <v>166.83</v>
      </c>
      <c r="H283" s="3">
        <v>0</v>
      </c>
      <c r="I283" s="3">
        <v>4536.6400000000003</v>
      </c>
      <c r="J283" s="3">
        <v>2788.83</v>
      </c>
      <c r="K283" s="3">
        <v>0</v>
      </c>
      <c r="L283" s="3">
        <v>0</v>
      </c>
      <c r="M283" s="3">
        <v>4946.29</v>
      </c>
      <c r="N283" s="8">
        <v>3729.22</v>
      </c>
      <c r="O283" s="3">
        <v>2412.44</v>
      </c>
      <c r="P283" s="8">
        <v>1629.5124999999998</v>
      </c>
      <c r="Q283" s="28">
        <f t="shared" si="4"/>
        <v>20209.762500000001</v>
      </c>
    </row>
    <row r="284" spans="1:17" ht="15" customHeight="1" x14ac:dyDescent="0.2">
      <c r="A284" s="1">
        <v>390</v>
      </c>
      <c r="B284" s="7" t="s">
        <v>43</v>
      </c>
      <c r="C284" s="7" t="s">
        <v>53</v>
      </c>
      <c r="D284" s="5"/>
      <c r="E284" s="7"/>
      <c r="F284" s="2" t="s">
        <v>9</v>
      </c>
      <c r="G284" s="3">
        <v>265337.81</v>
      </c>
      <c r="H284" s="3">
        <v>242696.85</v>
      </c>
      <c r="I284" s="3">
        <v>254990.46</v>
      </c>
      <c r="J284" s="3">
        <v>242610.92</v>
      </c>
      <c r="K284" s="3">
        <v>267632.21999999997</v>
      </c>
      <c r="L284" s="3">
        <v>236523.22</v>
      </c>
      <c r="M284" s="3">
        <v>257258.57</v>
      </c>
      <c r="N284" s="8">
        <v>234831.1</v>
      </c>
      <c r="O284" s="3">
        <v>261304.76500000001</v>
      </c>
      <c r="P284" s="8">
        <v>239165.52249999999</v>
      </c>
      <c r="Q284" s="28">
        <f t="shared" si="4"/>
        <v>2502351.4375</v>
      </c>
    </row>
    <row r="285" spans="1:17" ht="15" customHeight="1" x14ac:dyDescent="0.2">
      <c r="A285" s="1">
        <v>391</v>
      </c>
      <c r="B285" s="7" t="s">
        <v>43</v>
      </c>
      <c r="C285" s="7" t="s">
        <v>53</v>
      </c>
      <c r="D285" s="5"/>
      <c r="E285" s="7"/>
      <c r="F285" s="2" t="s">
        <v>10</v>
      </c>
      <c r="G285" s="3">
        <v>2605.0300000000002</v>
      </c>
      <c r="H285" s="3">
        <v>3545.9</v>
      </c>
      <c r="I285" s="3">
        <v>3619.1</v>
      </c>
      <c r="J285" s="3">
        <v>988.8</v>
      </c>
      <c r="K285" s="3">
        <v>586.41999999999996</v>
      </c>
      <c r="L285" s="3">
        <v>758.5</v>
      </c>
      <c r="M285" s="3">
        <v>1023.24</v>
      </c>
      <c r="N285" s="8">
        <v>1723.62</v>
      </c>
      <c r="O285" s="3">
        <v>1958.4475</v>
      </c>
      <c r="P285" s="8">
        <v>1754.2049999999999</v>
      </c>
      <c r="Q285" s="28">
        <f t="shared" si="4"/>
        <v>18563.262499999997</v>
      </c>
    </row>
    <row r="286" spans="1:17" ht="15" customHeight="1" x14ac:dyDescent="0.2">
      <c r="A286" s="1">
        <v>393</v>
      </c>
      <c r="B286" s="7" t="s">
        <v>43</v>
      </c>
      <c r="C286" s="7" t="s">
        <v>53</v>
      </c>
      <c r="D286" s="5"/>
      <c r="E286" s="2" t="s">
        <v>11</v>
      </c>
      <c r="F286" s="2" t="s">
        <v>11</v>
      </c>
      <c r="G286" s="3">
        <v>3056.97</v>
      </c>
      <c r="H286" s="3">
        <v>58016.18</v>
      </c>
      <c r="I286" s="3">
        <v>4508.0200000000004</v>
      </c>
      <c r="J286" s="3">
        <v>57446.85</v>
      </c>
      <c r="K286" s="3">
        <v>4728.16</v>
      </c>
      <c r="L286" s="3">
        <v>60645.760000000002</v>
      </c>
      <c r="M286" s="3">
        <v>4870.8100000000004</v>
      </c>
      <c r="N286" s="8">
        <v>52717.9</v>
      </c>
      <c r="O286" s="3">
        <v>4290.99</v>
      </c>
      <c r="P286" s="8">
        <v>57206.672500000001</v>
      </c>
      <c r="Q286" s="28">
        <f t="shared" si="4"/>
        <v>307488.3125</v>
      </c>
    </row>
    <row r="287" spans="1:17" ht="15" customHeight="1" x14ac:dyDescent="0.2">
      <c r="A287" s="1">
        <v>394</v>
      </c>
      <c r="B287" s="7" t="s">
        <v>43</v>
      </c>
      <c r="C287" s="7" t="s">
        <v>53</v>
      </c>
      <c r="D287" s="5"/>
      <c r="E287" s="2" t="s">
        <v>12</v>
      </c>
      <c r="F287" s="2" t="s">
        <v>12</v>
      </c>
      <c r="G287" s="3">
        <v>19222.63</v>
      </c>
      <c r="H287" s="3">
        <v>10974.71</v>
      </c>
      <c r="I287" s="3">
        <v>14906.04</v>
      </c>
      <c r="J287" s="3">
        <v>9680.61</v>
      </c>
      <c r="K287" s="3">
        <v>16324.02</v>
      </c>
      <c r="L287" s="3">
        <v>9157.74</v>
      </c>
      <c r="M287" s="3">
        <v>12314.76</v>
      </c>
      <c r="N287" s="8">
        <v>6990.49</v>
      </c>
      <c r="O287" s="3">
        <v>15691.862500000001</v>
      </c>
      <c r="P287" s="8">
        <v>9200.8874999999989</v>
      </c>
      <c r="Q287" s="28">
        <f t="shared" si="4"/>
        <v>124463.75000000001</v>
      </c>
    </row>
    <row r="288" spans="1:17" ht="15" customHeight="1" x14ac:dyDescent="0.2">
      <c r="A288" s="1">
        <v>395</v>
      </c>
      <c r="B288" s="7" t="s">
        <v>43</v>
      </c>
      <c r="C288" s="7" t="s">
        <v>53</v>
      </c>
      <c r="D288" s="7"/>
      <c r="E288" s="2" t="s">
        <v>13</v>
      </c>
      <c r="F288" s="2" t="s">
        <v>13</v>
      </c>
      <c r="G288" s="3">
        <v>46199.1</v>
      </c>
      <c r="H288" s="3">
        <v>57382.43</v>
      </c>
      <c r="I288" s="3">
        <v>51194.95</v>
      </c>
      <c r="J288" s="3">
        <v>57223.02</v>
      </c>
      <c r="K288" s="3">
        <v>45881.35</v>
      </c>
      <c r="L288" s="3">
        <v>64219.95</v>
      </c>
      <c r="M288" s="3">
        <v>50755.66</v>
      </c>
      <c r="N288" s="8">
        <v>68782.509999999995</v>
      </c>
      <c r="O288" s="3">
        <v>48507.764999999999</v>
      </c>
      <c r="P288" s="8">
        <v>61901.977499999994</v>
      </c>
      <c r="Q288" s="28">
        <f t="shared" si="4"/>
        <v>552048.71250000002</v>
      </c>
    </row>
    <row r="289" spans="1:17" ht="15" customHeight="1" x14ac:dyDescent="0.2">
      <c r="A289" s="1">
        <v>396</v>
      </c>
      <c r="B289" s="7" t="s">
        <v>43</v>
      </c>
      <c r="C289" s="7" t="s">
        <v>53</v>
      </c>
      <c r="D289" s="7"/>
      <c r="E289" s="2" t="s">
        <v>14</v>
      </c>
      <c r="F289" s="2" t="s">
        <v>14</v>
      </c>
      <c r="G289" s="3">
        <v>25991.64</v>
      </c>
      <c r="H289" s="3">
        <v>29555.93</v>
      </c>
      <c r="I289" s="3">
        <v>28192.81</v>
      </c>
      <c r="J289" s="3">
        <v>30980.97</v>
      </c>
      <c r="K289" s="3">
        <v>26152.83</v>
      </c>
      <c r="L289" s="3">
        <v>29942.83</v>
      </c>
      <c r="M289" s="3">
        <v>29463.66</v>
      </c>
      <c r="N289" s="8">
        <v>31942.16</v>
      </c>
      <c r="O289" s="3">
        <v>27450.235000000001</v>
      </c>
      <c r="P289" s="8">
        <v>30605.472500000003</v>
      </c>
      <c r="Q289" s="28">
        <f t="shared" si="4"/>
        <v>290278.53749999998</v>
      </c>
    </row>
    <row r="290" spans="1:17" ht="15" customHeight="1" x14ac:dyDescent="0.2">
      <c r="A290" s="1">
        <v>397</v>
      </c>
      <c r="B290" s="7" t="s">
        <v>43</v>
      </c>
      <c r="C290" s="7" t="s">
        <v>54</v>
      </c>
      <c r="D290" s="26" t="s">
        <v>7</v>
      </c>
      <c r="E290" s="2"/>
      <c r="F290" s="2" t="s">
        <v>7</v>
      </c>
      <c r="G290" s="3">
        <v>108965</v>
      </c>
      <c r="H290" s="3">
        <v>120914</v>
      </c>
      <c r="I290" s="3">
        <v>108785</v>
      </c>
      <c r="J290" s="3">
        <v>120789</v>
      </c>
      <c r="K290" s="3">
        <v>108601</v>
      </c>
      <c r="L290" s="3">
        <v>120660</v>
      </c>
      <c r="M290" s="3">
        <v>108401</v>
      </c>
      <c r="N290" s="8">
        <v>120506</v>
      </c>
      <c r="O290" s="3">
        <v>108688</v>
      </c>
      <c r="P290" s="8">
        <v>120717.25</v>
      </c>
      <c r="Q290" s="28">
        <f t="shared" si="4"/>
        <v>1147026.25</v>
      </c>
    </row>
    <row r="291" spans="1:17" ht="15" customHeight="1" x14ac:dyDescent="0.2">
      <c r="A291" s="1">
        <v>399</v>
      </c>
      <c r="B291" s="7" t="s">
        <v>43</v>
      </c>
      <c r="C291" s="7" t="s">
        <v>54</v>
      </c>
      <c r="D291" s="5"/>
      <c r="E291" s="2" t="s">
        <v>8</v>
      </c>
      <c r="F291" s="2" t="s">
        <v>8</v>
      </c>
      <c r="G291" s="3">
        <v>0</v>
      </c>
      <c r="H291" s="3">
        <v>34.54</v>
      </c>
      <c r="I291" s="3">
        <v>875.61</v>
      </c>
      <c r="J291" s="3">
        <v>518.35</v>
      </c>
      <c r="K291" s="3">
        <v>119.02</v>
      </c>
      <c r="L291" s="3">
        <v>90.18</v>
      </c>
      <c r="M291" s="3">
        <v>37.020000000000003</v>
      </c>
      <c r="N291" s="8">
        <v>0</v>
      </c>
      <c r="O291" s="3">
        <v>257.91250000000002</v>
      </c>
      <c r="P291" s="8">
        <v>160.76749999999998</v>
      </c>
      <c r="Q291" s="28">
        <f t="shared" si="4"/>
        <v>2093.4</v>
      </c>
    </row>
    <row r="292" spans="1:17" ht="15" customHeight="1" x14ac:dyDescent="0.2">
      <c r="A292" s="1">
        <v>401</v>
      </c>
      <c r="B292" s="7" t="s">
        <v>43</v>
      </c>
      <c r="C292" s="7" t="s">
        <v>54</v>
      </c>
      <c r="D292" s="5"/>
      <c r="E292" s="5"/>
      <c r="F292" s="2" t="s">
        <v>9</v>
      </c>
      <c r="G292" s="3">
        <v>82816.820000000007</v>
      </c>
      <c r="H292" s="3">
        <v>69982.850000000006</v>
      </c>
      <c r="I292" s="3">
        <v>81611.12</v>
      </c>
      <c r="J292" s="3">
        <v>67807.97</v>
      </c>
      <c r="K292" s="3">
        <v>79271.649999999994</v>
      </c>
      <c r="L292" s="3">
        <v>66181.63</v>
      </c>
      <c r="M292" s="3">
        <v>82952.17</v>
      </c>
      <c r="N292" s="8">
        <v>73228.39</v>
      </c>
      <c r="O292" s="3">
        <v>81662.94</v>
      </c>
      <c r="P292" s="8">
        <v>69300.210000000006</v>
      </c>
      <c r="Q292" s="28">
        <f t="shared" si="4"/>
        <v>754815.75</v>
      </c>
    </row>
    <row r="293" spans="1:17" ht="15" customHeight="1" x14ac:dyDescent="0.2">
      <c r="A293" s="1">
        <v>402</v>
      </c>
      <c r="B293" s="7" t="s">
        <v>43</v>
      </c>
      <c r="C293" s="7" t="s">
        <v>54</v>
      </c>
      <c r="D293" s="5"/>
      <c r="E293" s="5"/>
      <c r="F293" s="2" t="s">
        <v>10</v>
      </c>
      <c r="G293" s="3">
        <v>247.72</v>
      </c>
      <c r="H293" s="3">
        <v>66.040000000000006</v>
      </c>
      <c r="I293" s="3">
        <v>141.61000000000001</v>
      </c>
      <c r="J293" s="3">
        <v>232.44</v>
      </c>
      <c r="K293" s="3">
        <v>416.56</v>
      </c>
      <c r="L293" s="3">
        <v>1190.3399999999999</v>
      </c>
      <c r="M293" s="3">
        <v>320.92</v>
      </c>
      <c r="N293" s="8">
        <v>0</v>
      </c>
      <c r="O293" s="3">
        <v>281.70250000000004</v>
      </c>
      <c r="P293" s="8">
        <v>372.20499999999998</v>
      </c>
      <c r="Q293" s="28">
        <f t="shared" si="4"/>
        <v>3269.5374999999999</v>
      </c>
    </row>
    <row r="294" spans="1:17" ht="15" customHeight="1" x14ac:dyDescent="0.2">
      <c r="A294" s="1">
        <v>404</v>
      </c>
      <c r="B294" s="7" t="s">
        <v>43</v>
      </c>
      <c r="C294" s="7" t="s">
        <v>54</v>
      </c>
      <c r="D294" s="7"/>
      <c r="E294" s="2" t="s">
        <v>11</v>
      </c>
      <c r="F294" s="2" t="s">
        <v>11</v>
      </c>
      <c r="G294" s="3">
        <v>1553.77</v>
      </c>
      <c r="H294" s="3">
        <v>21812.92</v>
      </c>
      <c r="I294" s="3">
        <v>2317.96</v>
      </c>
      <c r="J294" s="3">
        <v>21616.26</v>
      </c>
      <c r="K294" s="3">
        <v>1877.62</v>
      </c>
      <c r="L294" s="3">
        <v>23094.959999999999</v>
      </c>
      <c r="M294" s="3">
        <v>2019.45</v>
      </c>
      <c r="N294" s="8">
        <v>16359.77</v>
      </c>
      <c r="O294" s="3">
        <v>1942.2</v>
      </c>
      <c r="P294" s="8">
        <v>20720.977499999997</v>
      </c>
      <c r="Q294" s="28">
        <f t="shared" si="4"/>
        <v>113315.88749999998</v>
      </c>
    </row>
    <row r="295" spans="1:17" ht="15" customHeight="1" x14ac:dyDescent="0.2">
      <c r="A295" s="1">
        <v>405</v>
      </c>
      <c r="B295" s="7" t="s">
        <v>43</v>
      </c>
      <c r="C295" s="7" t="s">
        <v>54</v>
      </c>
      <c r="D295" s="5"/>
      <c r="E295" s="2" t="s">
        <v>12</v>
      </c>
      <c r="F295" s="2" t="s">
        <v>12</v>
      </c>
      <c r="G295" s="3">
        <v>3362.79</v>
      </c>
      <c r="H295" s="3">
        <v>1948.09</v>
      </c>
      <c r="I295" s="3">
        <v>3958.74</v>
      </c>
      <c r="J295" s="3">
        <v>2949.38</v>
      </c>
      <c r="K295" s="3">
        <v>6884.32</v>
      </c>
      <c r="L295" s="3">
        <v>2427.9</v>
      </c>
      <c r="M295" s="3">
        <v>3330.72</v>
      </c>
      <c r="N295" s="8">
        <v>1846.24</v>
      </c>
      <c r="O295" s="3">
        <v>4384.1424999999999</v>
      </c>
      <c r="P295" s="8">
        <v>2292.9025000000001</v>
      </c>
      <c r="Q295" s="28">
        <f t="shared" si="4"/>
        <v>33385.225000000006</v>
      </c>
    </row>
    <row r="296" spans="1:17" ht="15" customHeight="1" x14ac:dyDescent="0.2">
      <c r="A296" s="1">
        <v>406</v>
      </c>
      <c r="B296" s="7" t="s">
        <v>43</v>
      </c>
      <c r="C296" s="7" t="s">
        <v>54</v>
      </c>
      <c r="D296" s="5"/>
      <c r="E296" s="2" t="s">
        <v>13</v>
      </c>
      <c r="F296" s="2" t="s">
        <v>13</v>
      </c>
      <c r="G296" s="3">
        <v>11099.89</v>
      </c>
      <c r="H296" s="3">
        <v>19022.84</v>
      </c>
      <c r="I296" s="3">
        <v>12089.76</v>
      </c>
      <c r="J296" s="3">
        <v>19378.759999999998</v>
      </c>
      <c r="K296" s="3">
        <v>13151.8</v>
      </c>
      <c r="L296" s="3">
        <v>19751.830000000002</v>
      </c>
      <c r="M296" s="3">
        <v>12118.21</v>
      </c>
      <c r="N296" s="8">
        <v>21480.93</v>
      </c>
      <c r="O296" s="3">
        <v>12114.914999999999</v>
      </c>
      <c r="P296" s="8">
        <v>19908.59</v>
      </c>
      <c r="Q296" s="28">
        <f t="shared" si="4"/>
        <v>160117.52499999999</v>
      </c>
    </row>
    <row r="297" spans="1:17" ht="15" customHeight="1" x14ac:dyDescent="0.2">
      <c r="A297" s="1">
        <v>407</v>
      </c>
      <c r="B297" s="7" t="s">
        <v>43</v>
      </c>
      <c r="C297" s="7" t="s">
        <v>54</v>
      </c>
      <c r="D297" s="5"/>
      <c r="E297" s="2" t="s">
        <v>14</v>
      </c>
      <c r="F297" s="2" t="s">
        <v>14</v>
      </c>
      <c r="G297" s="3">
        <v>9884</v>
      </c>
      <c r="H297" s="3">
        <v>8046.72</v>
      </c>
      <c r="I297" s="3">
        <v>7790.2</v>
      </c>
      <c r="J297" s="3">
        <v>8285.84</v>
      </c>
      <c r="K297" s="3">
        <v>6880.04</v>
      </c>
      <c r="L297" s="3">
        <v>7923.15</v>
      </c>
      <c r="M297" s="3">
        <v>7622.51</v>
      </c>
      <c r="N297" s="8">
        <v>7590.67</v>
      </c>
      <c r="O297" s="3">
        <v>8044.1875</v>
      </c>
      <c r="P297" s="8">
        <v>7961.5949999999993</v>
      </c>
      <c r="Q297" s="28">
        <f t="shared" si="4"/>
        <v>80028.912500000006</v>
      </c>
    </row>
    <row r="298" spans="1:17" ht="15" customHeight="1" x14ac:dyDescent="0.2">
      <c r="A298" s="1">
        <v>408</v>
      </c>
      <c r="B298" s="7" t="s">
        <v>43</v>
      </c>
      <c r="C298" s="7" t="s">
        <v>55</v>
      </c>
      <c r="D298" s="26" t="s">
        <v>7</v>
      </c>
      <c r="E298" s="2"/>
      <c r="F298" s="2" t="s">
        <v>7</v>
      </c>
      <c r="G298" s="3">
        <v>314515</v>
      </c>
      <c r="H298" s="3">
        <v>348789</v>
      </c>
      <c r="I298" s="3">
        <v>314612</v>
      </c>
      <c r="J298" s="3">
        <v>349109</v>
      </c>
      <c r="K298" s="3">
        <v>314702</v>
      </c>
      <c r="L298" s="3">
        <v>349420</v>
      </c>
      <c r="M298" s="3">
        <v>314742</v>
      </c>
      <c r="N298" s="8">
        <v>349654</v>
      </c>
      <c r="O298" s="3">
        <v>314642.75</v>
      </c>
      <c r="P298" s="8">
        <v>349243</v>
      </c>
      <c r="Q298" s="28">
        <f t="shared" si="4"/>
        <v>3319428.75</v>
      </c>
    </row>
    <row r="299" spans="1:17" ht="15" customHeight="1" x14ac:dyDescent="0.2">
      <c r="A299" s="1">
        <v>410</v>
      </c>
      <c r="B299" s="7" t="s">
        <v>43</v>
      </c>
      <c r="C299" s="7" t="s">
        <v>55</v>
      </c>
      <c r="D299" s="7"/>
      <c r="E299" s="2" t="s">
        <v>8</v>
      </c>
      <c r="F299" s="2" t="s">
        <v>8</v>
      </c>
      <c r="G299" s="3">
        <v>1348.72</v>
      </c>
      <c r="H299" s="3">
        <v>3055.02</v>
      </c>
      <c r="I299" s="3">
        <v>3466.14</v>
      </c>
      <c r="J299" s="3">
        <v>1692.99</v>
      </c>
      <c r="K299" s="3">
        <v>1883.66</v>
      </c>
      <c r="L299" s="3">
        <v>528.94000000000005</v>
      </c>
      <c r="M299" s="3">
        <v>3368.27</v>
      </c>
      <c r="N299" s="8">
        <v>0</v>
      </c>
      <c r="O299" s="3">
        <v>2516.6974999999998</v>
      </c>
      <c r="P299" s="8">
        <v>1319.2375000000002</v>
      </c>
      <c r="Q299" s="28">
        <f t="shared" si="4"/>
        <v>19179.674999999999</v>
      </c>
    </row>
    <row r="300" spans="1:17" ht="15" customHeight="1" x14ac:dyDescent="0.2">
      <c r="A300" s="1">
        <v>412</v>
      </c>
      <c r="B300" s="7" t="s">
        <v>43</v>
      </c>
      <c r="C300" s="7" t="s">
        <v>55</v>
      </c>
      <c r="D300" s="7"/>
      <c r="E300" s="7"/>
      <c r="F300" s="2" t="s">
        <v>9</v>
      </c>
      <c r="G300" s="3">
        <v>230685.76</v>
      </c>
      <c r="H300" s="3">
        <v>206018.68</v>
      </c>
      <c r="I300" s="3">
        <v>234766.74</v>
      </c>
      <c r="J300" s="3">
        <v>200262.09</v>
      </c>
      <c r="K300" s="3">
        <v>226247.39</v>
      </c>
      <c r="L300" s="3">
        <v>208314.3</v>
      </c>
      <c r="M300" s="3">
        <v>231807.73</v>
      </c>
      <c r="N300" s="8">
        <v>205335.92</v>
      </c>
      <c r="O300" s="3">
        <v>230876.905</v>
      </c>
      <c r="P300" s="8">
        <v>204982.74750000003</v>
      </c>
      <c r="Q300" s="28">
        <f t="shared" si="4"/>
        <v>2179298.2624999997</v>
      </c>
    </row>
    <row r="301" spans="1:17" ht="15" customHeight="1" x14ac:dyDescent="0.2">
      <c r="A301" s="1">
        <v>413</v>
      </c>
      <c r="B301" s="7" t="s">
        <v>43</v>
      </c>
      <c r="C301" s="7" t="s">
        <v>55</v>
      </c>
      <c r="D301" s="5"/>
      <c r="E301" s="7"/>
      <c r="F301" s="2" t="s">
        <v>10</v>
      </c>
      <c r="G301" s="3">
        <v>2275.94</v>
      </c>
      <c r="H301" s="3">
        <v>349.82</v>
      </c>
      <c r="I301" s="3">
        <v>1593.51</v>
      </c>
      <c r="J301" s="3">
        <v>5077.42</v>
      </c>
      <c r="K301" s="3">
        <v>7139.27</v>
      </c>
      <c r="L301" s="3">
        <v>6073.02</v>
      </c>
      <c r="M301" s="3">
        <v>9663.77</v>
      </c>
      <c r="N301" s="8">
        <v>7707.66</v>
      </c>
      <c r="O301" s="3">
        <v>5168.1225000000004</v>
      </c>
      <c r="P301" s="8">
        <v>4801.9799999999996</v>
      </c>
      <c r="Q301" s="28">
        <f t="shared" si="4"/>
        <v>49850.512499999997</v>
      </c>
    </row>
    <row r="302" spans="1:17" ht="15" customHeight="1" x14ac:dyDescent="0.2">
      <c r="A302" s="1">
        <v>415</v>
      </c>
      <c r="B302" s="7" t="s">
        <v>43</v>
      </c>
      <c r="C302" s="7" t="s">
        <v>55</v>
      </c>
      <c r="D302" s="5"/>
      <c r="E302" s="2" t="s">
        <v>11</v>
      </c>
      <c r="F302" s="2" t="s">
        <v>11</v>
      </c>
      <c r="G302" s="3">
        <v>6305.77</v>
      </c>
      <c r="H302" s="3">
        <v>55212.7</v>
      </c>
      <c r="I302" s="3">
        <v>6681.31</v>
      </c>
      <c r="J302" s="3">
        <v>56029.77</v>
      </c>
      <c r="K302" s="3">
        <v>3194.53</v>
      </c>
      <c r="L302" s="3">
        <v>50519.31</v>
      </c>
      <c r="M302" s="3">
        <v>3257.58</v>
      </c>
      <c r="N302" s="8">
        <v>50721.74</v>
      </c>
      <c r="O302" s="3">
        <v>4859.7975000000006</v>
      </c>
      <c r="P302" s="8">
        <v>53120.88</v>
      </c>
      <c r="Q302" s="28">
        <f t="shared" si="4"/>
        <v>289903.38749999995</v>
      </c>
    </row>
    <row r="303" spans="1:17" ht="15" customHeight="1" x14ac:dyDescent="0.2">
      <c r="A303" s="1">
        <v>416</v>
      </c>
      <c r="B303" s="7" t="s">
        <v>43</v>
      </c>
      <c r="C303" s="7" t="s">
        <v>55</v>
      </c>
      <c r="D303" s="5"/>
      <c r="E303" s="26" t="s">
        <v>12</v>
      </c>
      <c r="F303" s="2" t="s">
        <v>12</v>
      </c>
      <c r="G303" s="3">
        <v>6052.44</v>
      </c>
      <c r="H303" s="3">
        <v>4108.8900000000003</v>
      </c>
      <c r="I303" s="3">
        <v>10025.06</v>
      </c>
      <c r="J303" s="3">
        <v>7116.21</v>
      </c>
      <c r="K303" s="3">
        <v>8728.14</v>
      </c>
      <c r="L303" s="3">
        <v>7306.98</v>
      </c>
      <c r="M303" s="3">
        <v>4205.3999999999996</v>
      </c>
      <c r="N303" s="8">
        <v>7304.61</v>
      </c>
      <c r="O303" s="3">
        <v>7252.76</v>
      </c>
      <c r="P303" s="8">
        <v>6459.1725000000006</v>
      </c>
      <c r="Q303" s="28">
        <f t="shared" si="4"/>
        <v>68559.662500000006</v>
      </c>
    </row>
    <row r="304" spans="1:17" ht="15" customHeight="1" x14ac:dyDescent="0.2">
      <c r="A304" s="1">
        <v>417</v>
      </c>
      <c r="B304" s="7" t="s">
        <v>43</v>
      </c>
      <c r="C304" s="7" t="s">
        <v>55</v>
      </c>
      <c r="D304" s="5"/>
      <c r="E304" s="26" t="s">
        <v>13</v>
      </c>
      <c r="F304" s="2" t="s">
        <v>13</v>
      </c>
      <c r="G304" s="3">
        <v>43293.89</v>
      </c>
      <c r="H304" s="3">
        <v>52138.87</v>
      </c>
      <c r="I304" s="3">
        <v>37105.589999999997</v>
      </c>
      <c r="J304" s="3">
        <v>48788.61</v>
      </c>
      <c r="K304" s="3">
        <v>39770.269999999997</v>
      </c>
      <c r="L304" s="3">
        <v>50352.38</v>
      </c>
      <c r="M304" s="3">
        <v>43688.21</v>
      </c>
      <c r="N304" s="8">
        <v>54559.71</v>
      </c>
      <c r="O304" s="3">
        <v>40964.49</v>
      </c>
      <c r="P304" s="8">
        <v>51459.892500000002</v>
      </c>
      <c r="Q304" s="28">
        <f t="shared" si="4"/>
        <v>462121.91250000003</v>
      </c>
    </row>
    <row r="305" spans="1:17" ht="15" customHeight="1" x14ac:dyDescent="0.2">
      <c r="A305" s="1">
        <v>418</v>
      </c>
      <c r="B305" s="7" t="s">
        <v>43</v>
      </c>
      <c r="C305" s="7" t="s">
        <v>55</v>
      </c>
      <c r="D305" s="7"/>
      <c r="E305" s="2" t="s">
        <v>14</v>
      </c>
      <c r="F305" s="2" t="s">
        <v>14</v>
      </c>
      <c r="G305" s="3">
        <v>24552.48</v>
      </c>
      <c r="H305" s="3">
        <v>27905.03</v>
      </c>
      <c r="I305" s="3">
        <v>20973.66</v>
      </c>
      <c r="J305" s="3">
        <v>30141.91</v>
      </c>
      <c r="K305" s="3">
        <v>27738.74</v>
      </c>
      <c r="L305" s="3">
        <v>26325.08</v>
      </c>
      <c r="M305" s="3">
        <v>18751.03</v>
      </c>
      <c r="N305" s="8">
        <v>24024.36</v>
      </c>
      <c r="O305" s="3">
        <v>23003.977500000001</v>
      </c>
      <c r="P305" s="8">
        <v>27099.095000000001</v>
      </c>
      <c r="Q305" s="28">
        <f t="shared" si="4"/>
        <v>250515.36250000005</v>
      </c>
    </row>
    <row r="306" spans="1:17" ht="15" customHeight="1" x14ac:dyDescent="0.2">
      <c r="A306" s="1">
        <v>419</v>
      </c>
      <c r="B306" s="7" t="s">
        <v>43</v>
      </c>
      <c r="C306" s="7" t="s">
        <v>56</v>
      </c>
      <c r="D306" s="26" t="s">
        <v>7</v>
      </c>
      <c r="E306" s="2"/>
      <c r="F306" s="2" t="s">
        <v>7</v>
      </c>
      <c r="G306" s="3">
        <v>215523</v>
      </c>
      <c r="H306" s="3">
        <v>239300</v>
      </c>
      <c r="I306" s="3">
        <v>215674</v>
      </c>
      <c r="J306" s="3">
        <v>239612</v>
      </c>
      <c r="K306" s="3">
        <v>215816</v>
      </c>
      <c r="L306" s="3">
        <v>239912</v>
      </c>
      <c r="M306" s="3">
        <v>215920</v>
      </c>
      <c r="N306" s="8">
        <v>240161</v>
      </c>
      <c r="O306" s="3">
        <v>215733.25</v>
      </c>
      <c r="P306" s="8">
        <v>239746.25</v>
      </c>
      <c r="Q306" s="28">
        <f t="shared" si="4"/>
        <v>2277397.5</v>
      </c>
    </row>
    <row r="307" spans="1:17" ht="15" customHeight="1" x14ac:dyDescent="0.2">
      <c r="A307" s="1">
        <v>421</v>
      </c>
      <c r="B307" s="7" t="s">
        <v>43</v>
      </c>
      <c r="C307" s="7" t="s">
        <v>56</v>
      </c>
      <c r="D307" s="5"/>
      <c r="E307" s="2" t="s">
        <v>8</v>
      </c>
      <c r="F307" s="2" t="s">
        <v>8</v>
      </c>
      <c r="G307" s="3">
        <v>3646.92</v>
      </c>
      <c r="H307" s="3">
        <v>4257.97</v>
      </c>
      <c r="I307" s="3">
        <v>5296.6</v>
      </c>
      <c r="J307" s="3">
        <v>3133.5</v>
      </c>
      <c r="K307" s="3">
        <v>781.83</v>
      </c>
      <c r="L307" s="3">
        <v>426.68</v>
      </c>
      <c r="M307" s="3">
        <v>1482.85</v>
      </c>
      <c r="N307" s="8">
        <v>867.67</v>
      </c>
      <c r="O307" s="3">
        <v>2802.05</v>
      </c>
      <c r="P307" s="8">
        <v>2171.4549999999999</v>
      </c>
      <c r="Q307" s="28">
        <f t="shared" si="4"/>
        <v>24867.525000000001</v>
      </c>
    </row>
    <row r="308" spans="1:17" ht="15" customHeight="1" x14ac:dyDescent="0.2">
      <c r="A308" s="1">
        <v>423</v>
      </c>
      <c r="B308" s="7" t="s">
        <v>43</v>
      </c>
      <c r="C308" s="7" t="s">
        <v>56</v>
      </c>
      <c r="D308" s="5"/>
      <c r="E308" s="7"/>
      <c r="F308" s="2" t="s">
        <v>9</v>
      </c>
      <c r="G308" s="3">
        <v>161673.87</v>
      </c>
      <c r="H308" s="3">
        <v>123465.34</v>
      </c>
      <c r="I308" s="3">
        <v>155466.32</v>
      </c>
      <c r="J308" s="3">
        <v>120156.08</v>
      </c>
      <c r="K308" s="3">
        <v>158564.47</v>
      </c>
      <c r="L308" s="3">
        <v>129412.98</v>
      </c>
      <c r="M308" s="3">
        <v>158864.88</v>
      </c>
      <c r="N308" s="8">
        <v>130554.47</v>
      </c>
      <c r="O308" s="3">
        <v>158642.38500000001</v>
      </c>
      <c r="P308" s="8">
        <v>125897.2175</v>
      </c>
      <c r="Q308" s="28">
        <f t="shared" si="4"/>
        <v>1422698.0125</v>
      </c>
    </row>
    <row r="309" spans="1:17" ht="15" customHeight="1" x14ac:dyDescent="0.2">
      <c r="A309" s="1">
        <v>424</v>
      </c>
      <c r="B309" s="7" t="s">
        <v>43</v>
      </c>
      <c r="C309" s="7" t="s">
        <v>56</v>
      </c>
      <c r="D309" s="5"/>
      <c r="E309" s="7"/>
      <c r="F309" s="2" t="s">
        <v>10</v>
      </c>
      <c r="G309" s="3">
        <v>0</v>
      </c>
      <c r="H309" s="3">
        <v>238.25</v>
      </c>
      <c r="I309" s="3">
        <v>928</v>
      </c>
      <c r="J309" s="3">
        <v>505.33</v>
      </c>
      <c r="K309" s="3">
        <v>2313.9</v>
      </c>
      <c r="L309" s="3">
        <v>797.8</v>
      </c>
      <c r="M309" s="3">
        <v>996.35</v>
      </c>
      <c r="N309" s="8">
        <v>306.52</v>
      </c>
      <c r="O309" s="3">
        <v>1059.5625</v>
      </c>
      <c r="P309" s="8">
        <v>461.97499999999997</v>
      </c>
      <c r="Q309" s="28">
        <f t="shared" si="4"/>
        <v>7607.6875</v>
      </c>
    </row>
    <row r="310" spans="1:17" ht="15" customHeight="1" x14ac:dyDescent="0.2">
      <c r="A310" s="1">
        <v>426</v>
      </c>
      <c r="B310" s="7" t="s">
        <v>43</v>
      </c>
      <c r="C310" s="7" t="s">
        <v>56</v>
      </c>
      <c r="D310" s="7"/>
      <c r="E310" s="2" t="s">
        <v>11</v>
      </c>
      <c r="F310" s="2" t="s">
        <v>11</v>
      </c>
      <c r="G310" s="3">
        <v>2340.7199999999998</v>
      </c>
      <c r="H310" s="3">
        <v>49547.519999999997</v>
      </c>
      <c r="I310" s="3">
        <v>1440.32</v>
      </c>
      <c r="J310" s="3">
        <v>52052.2</v>
      </c>
      <c r="K310" s="3">
        <v>1534.7</v>
      </c>
      <c r="L310" s="3">
        <v>48320.1</v>
      </c>
      <c r="M310" s="3">
        <v>1876.76</v>
      </c>
      <c r="N310" s="8">
        <v>49931.81</v>
      </c>
      <c r="O310" s="3">
        <v>1798.125</v>
      </c>
      <c r="P310" s="8">
        <v>49962.907500000001</v>
      </c>
      <c r="Q310" s="28">
        <f t="shared" si="4"/>
        <v>258805.16250000001</v>
      </c>
    </row>
    <row r="311" spans="1:17" ht="15" customHeight="1" x14ac:dyDescent="0.2">
      <c r="A311" s="1">
        <v>427</v>
      </c>
      <c r="B311" s="7" t="s">
        <v>43</v>
      </c>
      <c r="C311" s="7" t="s">
        <v>56</v>
      </c>
      <c r="D311" s="7"/>
      <c r="E311" s="2" t="s">
        <v>12</v>
      </c>
      <c r="F311" s="2" t="s">
        <v>12</v>
      </c>
      <c r="G311" s="3">
        <v>7491.06</v>
      </c>
      <c r="H311" s="3">
        <v>6210.04</v>
      </c>
      <c r="I311" s="3">
        <v>6462.86</v>
      </c>
      <c r="J311" s="3">
        <v>4982.8500000000004</v>
      </c>
      <c r="K311" s="3">
        <v>5814.45</v>
      </c>
      <c r="L311" s="3">
        <v>4332.28</v>
      </c>
      <c r="M311" s="3">
        <v>5056.18</v>
      </c>
      <c r="N311" s="8">
        <v>4152.1099999999997</v>
      </c>
      <c r="O311" s="3">
        <v>6206.1374999999998</v>
      </c>
      <c r="P311" s="8">
        <v>4919.32</v>
      </c>
      <c r="Q311" s="28">
        <f t="shared" si="4"/>
        <v>55627.287499999999</v>
      </c>
    </row>
    <row r="312" spans="1:17" ht="15" customHeight="1" x14ac:dyDescent="0.2">
      <c r="A312" s="1">
        <v>428</v>
      </c>
      <c r="B312" s="7" t="s">
        <v>43</v>
      </c>
      <c r="C312" s="7" t="s">
        <v>56</v>
      </c>
      <c r="D312" s="5"/>
      <c r="E312" s="2" t="s">
        <v>13</v>
      </c>
      <c r="F312" s="2" t="s">
        <v>13</v>
      </c>
      <c r="G312" s="3">
        <v>26083.93</v>
      </c>
      <c r="H312" s="3">
        <v>39823.629999999997</v>
      </c>
      <c r="I312" s="3">
        <v>30705.91</v>
      </c>
      <c r="J312" s="3">
        <v>44976.67</v>
      </c>
      <c r="K312" s="3">
        <v>33189.18</v>
      </c>
      <c r="L312" s="3">
        <v>43467.3</v>
      </c>
      <c r="M312" s="3">
        <v>33891.19</v>
      </c>
      <c r="N312" s="8">
        <v>42496.47</v>
      </c>
      <c r="O312" s="3">
        <v>30967.552499999998</v>
      </c>
      <c r="P312" s="8">
        <v>42691.017500000002</v>
      </c>
      <c r="Q312" s="28">
        <f t="shared" si="4"/>
        <v>368292.85000000003</v>
      </c>
    </row>
    <row r="313" spans="1:17" ht="15" customHeight="1" x14ac:dyDescent="0.2">
      <c r="A313" s="1">
        <v>429</v>
      </c>
      <c r="B313" s="7" t="s">
        <v>43</v>
      </c>
      <c r="C313" s="7" t="s">
        <v>56</v>
      </c>
      <c r="D313" s="5"/>
      <c r="E313" s="2" t="s">
        <v>14</v>
      </c>
      <c r="F313" s="2" t="s">
        <v>14</v>
      </c>
      <c r="G313" s="3">
        <v>14286.51</v>
      </c>
      <c r="H313" s="3">
        <v>15757.25</v>
      </c>
      <c r="I313" s="3">
        <v>15373.99</v>
      </c>
      <c r="J313" s="3">
        <v>13805.38</v>
      </c>
      <c r="K313" s="3">
        <v>13617.46</v>
      </c>
      <c r="L313" s="3">
        <v>13154.86</v>
      </c>
      <c r="M313" s="3">
        <v>13751.79</v>
      </c>
      <c r="N313" s="8">
        <v>11851.95</v>
      </c>
      <c r="O313" s="3">
        <v>14257.4375</v>
      </c>
      <c r="P313" s="8">
        <v>13642.36</v>
      </c>
      <c r="Q313" s="28">
        <f t="shared" si="4"/>
        <v>139498.98749999999</v>
      </c>
    </row>
    <row r="314" spans="1:17" ht="15" customHeight="1" x14ac:dyDescent="0.2">
      <c r="A314" s="1">
        <v>430</v>
      </c>
      <c r="B314" s="7" t="s">
        <v>43</v>
      </c>
      <c r="C314" s="7" t="s">
        <v>57</v>
      </c>
      <c r="D314" s="26" t="s">
        <v>7</v>
      </c>
      <c r="E314" s="26"/>
      <c r="F314" s="2" t="s">
        <v>7</v>
      </c>
      <c r="G314" s="3">
        <v>243770</v>
      </c>
      <c r="H314" s="3">
        <v>270477</v>
      </c>
      <c r="I314" s="3">
        <v>243692</v>
      </c>
      <c r="J314" s="3">
        <v>270552</v>
      </c>
      <c r="K314" s="3">
        <v>243599</v>
      </c>
      <c r="L314" s="3">
        <v>270620</v>
      </c>
      <c r="M314" s="3">
        <v>243481</v>
      </c>
      <c r="N314" s="8">
        <v>270630</v>
      </c>
      <c r="O314" s="3">
        <v>243635.5</v>
      </c>
      <c r="P314" s="8">
        <v>270569.75</v>
      </c>
      <c r="Q314" s="28">
        <f t="shared" si="4"/>
        <v>2571026.25</v>
      </c>
    </row>
    <row r="315" spans="1:17" ht="15" customHeight="1" x14ac:dyDescent="0.2">
      <c r="A315" s="1">
        <v>432</v>
      </c>
      <c r="B315" s="7" t="s">
        <v>43</v>
      </c>
      <c r="C315" s="7" t="s">
        <v>57</v>
      </c>
      <c r="D315" s="5"/>
      <c r="E315" s="26" t="s">
        <v>8</v>
      </c>
      <c r="F315" s="2" t="s">
        <v>8</v>
      </c>
      <c r="G315" s="3">
        <v>91.16</v>
      </c>
      <c r="H315" s="3">
        <v>0</v>
      </c>
      <c r="I315" s="3">
        <v>505.55</v>
      </c>
      <c r="J315" s="3">
        <v>458.91</v>
      </c>
      <c r="K315" s="3">
        <v>0</v>
      </c>
      <c r="L315" s="3">
        <v>0</v>
      </c>
      <c r="M315" s="3">
        <v>0</v>
      </c>
      <c r="N315" s="8">
        <v>0</v>
      </c>
      <c r="O315" s="3">
        <v>149.17750000000001</v>
      </c>
      <c r="P315" s="8">
        <v>114.72750000000001</v>
      </c>
      <c r="Q315" s="28">
        <f t="shared" si="4"/>
        <v>1319.5250000000001</v>
      </c>
    </row>
    <row r="316" spans="1:17" ht="15" customHeight="1" x14ac:dyDescent="0.2">
      <c r="A316" s="1">
        <v>434</v>
      </c>
      <c r="B316" s="7" t="s">
        <v>43</v>
      </c>
      <c r="C316" s="7" t="s">
        <v>57</v>
      </c>
      <c r="D316" s="7"/>
      <c r="E316" s="7"/>
      <c r="F316" s="2" t="s">
        <v>9</v>
      </c>
      <c r="G316" s="3">
        <v>181228.77</v>
      </c>
      <c r="H316" s="3">
        <v>167646.10999999999</v>
      </c>
      <c r="I316" s="3">
        <v>186492.59</v>
      </c>
      <c r="J316" s="3">
        <v>164535</v>
      </c>
      <c r="K316" s="3">
        <v>184430.65</v>
      </c>
      <c r="L316" s="3">
        <v>166112.19</v>
      </c>
      <c r="M316" s="3">
        <v>187822.63</v>
      </c>
      <c r="N316" s="8">
        <v>175849.64</v>
      </c>
      <c r="O316" s="3">
        <v>184993.66</v>
      </c>
      <c r="P316" s="8">
        <v>168535.73499999999</v>
      </c>
      <c r="Q316" s="28">
        <f t="shared" si="4"/>
        <v>1767646.9750000001</v>
      </c>
    </row>
    <row r="317" spans="1:17" ht="15" customHeight="1" x14ac:dyDescent="0.2">
      <c r="A317" s="1">
        <v>435</v>
      </c>
      <c r="B317" s="7" t="s">
        <v>43</v>
      </c>
      <c r="C317" s="7" t="s">
        <v>57</v>
      </c>
      <c r="D317" s="5"/>
      <c r="E317" s="7"/>
      <c r="F317" s="2" t="s">
        <v>10</v>
      </c>
      <c r="G317" s="3">
        <v>6315.77</v>
      </c>
      <c r="H317" s="3">
        <v>688.76</v>
      </c>
      <c r="I317" s="3">
        <v>2878.91</v>
      </c>
      <c r="J317" s="3">
        <v>3195.62</v>
      </c>
      <c r="K317" s="3">
        <v>4488.6499999999996</v>
      </c>
      <c r="L317" s="3">
        <v>5599.08</v>
      </c>
      <c r="M317" s="3">
        <v>3054.01</v>
      </c>
      <c r="N317" s="8">
        <v>2188.85</v>
      </c>
      <c r="O317" s="3">
        <v>4184.335</v>
      </c>
      <c r="P317" s="8">
        <v>2918.0774999999999</v>
      </c>
      <c r="Q317" s="28">
        <f t="shared" si="4"/>
        <v>35512.0625</v>
      </c>
    </row>
    <row r="318" spans="1:17" ht="15" customHeight="1" x14ac:dyDescent="0.2">
      <c r="A318" s="1">
        <v>437</v>
      </c>
      <c r="B318" s="7" t="s">
        <v>43</v>
      </c>
      <c r="C318" s="7" t="s">
        <v>57</v>
      </c>
      <c r="D318" s="5"/>
      <c r="E318" s="2" t="s">
        <v>11</v>
      </c>
      <c r="F318" s="2" t="s">
        <v>11</v>
      </c>
      <c r="G318" s="3">
        <v>4020.2</v>
      </c>
      <c r="H318" s="3">
        <v>29149.63</v>
      </c>
      <c r="I318" s="3">
        <v>2240.5700000000002</v>
      </c>
      <c r="J318" s="3">
        <v>35761.57</v>
      </c>
      <c r="K318" s="3">
        <v>1859.05</v>
      </c>
      <c r="L318" s="3">
        <v>35174.400000000001</v>
      </c>
      <c r="M318" s="3">
        <v>2631.22</v>
      </c>
      <c r="N318" s="8">
        <v>26000.94</v>
      </c>
      <c r="O318" s="3">
        <v>2687.76</v>
      </c>
      <c r="P318" s="8">
        <v>31521.635000000002</v>
      </c>
      <c r="Q318" s="28">
        <f t="shared" si="4"/>
        <v>171046.97500000003</v>
      </c>
    </row>
    <row r="319" spans="1:17" ht="15" customHeight="1" x14ac:dyDescent="0.2">
      <c r="A319" s="1">
        <v>438</v>
      </c>
      <c r="B319" s="7" t="s">
        <v>43</v>
      </c>
      <c r="C319" s="7" t="s">
        <v>57</v>
      </c>
      <c r="D319" s="5"/>
      <c r="E319" s="2" t="s">
        <v>12</v>
      </c>
      <c r="F319" s="2" t="s">
        <v>12</v>
      </c>
      <c r="G319" s="3">
        <v>6653.67</v>
      </c>
      <c r="H319" s="3">
        <v>6571.87</v>
      </c>
      <c r="I319" s="3">
        <v>7816.63</v>
      </c>
      <c r="J319" s="3">
        <v>6149.95</v>
      </c>
      <c r="K319" s="3">
        <v>5163.1400000000003</v>
      </c>
      <c r="L319" s="3">
        <v>2887.49</v>
      </c>
      <c r="M319" s="3">
        <v>5695.52</v>
      </c>
      <c r="N319" s="8">
        <v>2675.52</v>
      </c>
      <c r="O319" s="3">
        <v>6332.24</v>
      </c>
      <c r="P319" s="8">
        <v>4571.2074999999995</v>
      </c>
      <c r="Q319" s="28">
        <f t="shared" si="4"/>
        <v>54517.237499999996</v>
      </c>
    </row>
    <row r="320" spans="1:17" ht="15" customHeight="1" x14ac:dyDescent="0.2">
      <c r="A320" s="1">
        <v>439</v>
      </c>
      <c r="B320" s="7" t="s">
        <v>43</v>
      </c>
      <c r="C320" s="7" t="s">
        <v>57</v>
      </c>
      <c r="D320" s="5"/>
      <c r="E320" s="2" t="s">
        <v>13</v>
      </c>
      <c r="F320" s="2" t="s">
        <v>13</v>
      </c>
      <c r="G320" s="3">
        <v>31328.05</v>
      </c>
      <c r="H320" s="3">
        <v>45781.83</v>
      </c>
      <c r="I320" s="3">
        <v>30726.400000000001</v>
      </c>
      <c r="J320" s="3">
        <v>41753.47</v>
      </c>
      <c r="K320" s="3">
        <v>28598.16</v>
      </c>
      <c r="L320" s="3">
        <v>41600.42</v>
      </c>
      <c r="M320" s="3">
        <v>28400.26</v>
      </c>
      <c r="N320" s="8">
        <v>44973.91</v>
      </c>
      <c r="O320" s="3">
        <v>29763.217499999999</v>
      </c>
      <c r="P320" s="8">
        <v>43527.407500000001</v>
      </c>
      <c r="Q320" s="28">
        <f t="shared" si="4"/>
        <v>366453.125</v>
      </c>
    </row>
    <row r="321" spans="1:17" ht="15" customHeight="1" x14ac:dyDescent="0.2">
      <c r="A321" s="1">
        <v>440</v>
      </c>
      <c r="B321" s="7" t="s">
        <v>43</v>
      </c>
      <c r="C321" s="7" t="s">
        <v>57</v>
      </c>
      <c r="D321" s="7"/>
      <c r="E321" s="2" t="s">
        <v>14</v>
      </c>
      <c r="F321" s="2" t="s">
        <v>14</v>
      </c>
      <c r="G321" s="3">
        <v>14132.39</v>
      </c>
      <c r="H321" s="3">
        <v>20638.8</v>
      </c>
      <c r="I321" s="3">
        <v>13031.35</v>
      </c>
      <c r="J321" s="3">
        <v>18697.48</v>
      </c>
      <c r="K321" s="3">
        <v>19059.349999999999</v>
      </c>
      <c r="L321" s="3">
        <v>19246.419999999998</v>
      </c>
      <c r="M321" s="3">
        <v>15877.36</v>
      </c>
      <c r="N321" s="8">
        <v>18941.14</v>
      </c>
      <c r="O321" s="3">
        <v>15525.112499999999</v>
      </c>
      <c r="P321" s="8">
        <v>19380.96</v>
      </c>
      <c r="Q321" s="28">
        <f t="shared" si="4"/>
        <v>174530.36249999996</v>
      </c>
    </row>
    <row r="322" spans="1:17" ht="15" customHeight="1" x14ac:dyDescent="0.2">
      <c r="A322" s="1">
        <v>441</v>
      </c>
      <c r="B322" s="7" t="s">
        <v>43</v>
      </c>
      <c r="C322" s="7" t="s">
        <v>58</v>
      </c>
      <c r="D322" s="2" t="s">
        <v>7</v>
      </c>
      <c r="E322" s="2"/>
      <c r="F322" s="2" t="s">
        <v>7</v>
      </c>
      <c r="G322" s="3">
        <v>360115</v>
      </c>
      <c r="H322" s="3">
        <v>399514</v>
      </c>
      <c r="I322" s="3">
        <v>360182</v>
      </c>
      <c r="J322" s="3">
        <v>399821</v>
      </c>
      <c r="K322" s="3">
        <v>360230</v>
      </c>
      <c r="L322" s="3">
        <v>400122</v>
      </c>
      <c r="M322" s="3">
        <v>360229</v>
      </c>
      <c r="N322" s="8">
        <v>400342</v>
      </c>
      <c r="O322" s="3">
        <v>360189</v>
      </c>
      <c r="P322" s="8">
        <v>399949.75</v>
      </c>
      <c r="Q322" s="28">
        <f t="shared" si="4"/>
        <v>3800693.75</v>
      </c>
    </row>
    <row r="323" spans="1:17" ht="15" customHeight="1" x14ac:dyDescent="0.2">
      <c r="A323" s="1">
        <v>443</v>
      </c>
      <c r="B323" s="7" t="s">
        <v>43</v>
      </c>
      <c r="C323" s="7" t="s">
        <v>58</v>
      </c>
      <c r="D323" s="5"/>
      <c r="E323" s="2" t="s">
        <v>8</v>
      </c>
      <c r="F323" s="2" t="s">
        <v>8</v>
      </c>
      <c r="G323" s="3">
        <v>0</v>
      </c>
      <c r="H323" s="3">
        <v>0</v>
      </c>
      <c r="I323" s="3">
        <v>0</v>
      </c>
      <c r="J323" s="3">
        <v>1033.26</v>
      </c>
      <c r="K323" s="3">
        <v>0</v>
      </c>
      <c r="L323" s="3">
        <v>0</v>
      </c>
      <c r="M323" s="3">
        <v>586.61</v>
      </c>
      <c r="N323" s="8">
        <v>2521.9499999999998</v>
      </c>
      <c r="O323" s="3">
        <v>146.6525</v>
      </c>
      <c r="P323" s="8">
        <v>888.80250000000001</v>
      </c>
      <c r="Q323" s="28">
        <f t="shared" ref="Q323:Q386" si="5">SUM(G323:P323)</f>
        <v>5177.2749999999996</v>
      </c>
    </row>
    <row r="324" spans="1:17" ht="15" customHeight="1" x14ac:dyDescent="0.2">
      <c r="A324" s="1">
        <v>445</v>
      </c>
      <c r="B324" s="7" t="s">
        <v>43</v>
      </c>
      <c r="C324" s="7" t="s">
        <v>58</v>
      </c>
      <c r="D324" s="5"/>
      <c r="E324" s="7"/>
      <c r="F324" s="2" t="s">
        <v>9</v>
      </c>
      <c r="G324" s="3">
        <v>269196.79999999999</v>
      </c>
      <c r="H324" s="3">
        <v>235189.96</v>
      </c>
      <c r="I324" s="3">
        <v>264031.24</v>
      </c>
      <c r="J324" s="3">
        <v>227723.32</v>
      </c>
      <c r="K324" s="3">
        <v>272395.58</v>
      </c>
      <c r="L324" s="3">
        <v>236315.54</v>
      </c>
      <c r="M324" s="3">
        <v>272386.96999999997</v>
      </c>
      <c r="N324" s="8">
        <v>238215.91</v>
      </c>
      <c r="O324" s="3">
        <v>269502.64750000002</v>
      </c>
      <c r="P324" s="8">
        <v>234361.18250000002</v>
      </c>
      <c r="Q324" s="28">
        <f t="shared" si="5"/>
        <v>2519319.1500000004</v>
      </c>
    </row>
    <row r="325" spans="1:17" ht="15" customHeight="1" x14ac:dyDescent="0.2">
      <c r="A325" s="1">
        <v>446</v>
      </c>
      <c r="B325" s="7" t="s">
        <v>43</v>
      </c>
      <c r="C325" s="7" t="s">
        <v>58</v>
      </c>
      <c r="D325" s="5"/>
      <c r="E325" s="5"/>
      <c r="F325" s="2" t="s">
        <v>10</v>
      </c>
      <c r="G325" s="3">
        <v>2736.79</v>
      </c>
      <c r="H325" s="3">
        <v>1303.03</v>
      </c>
      <c r="I325" s="3">
        <v>2167.6999999999998</v>
      </c>
      <c r="J325" s="3">
        <v>6505.23</v>
      </c>
      <c r="K325" s="3">
        <v>1406.87</v>
      </c>
      <c r="L325" s="3">
        <v>3208.41</v>
      </c>
      <c r="M325" s="3">
        <v>1313.37</v>
      </c>
      <c r="N325" s="8">
        <v>1373.85</v>
      </c>
      <c r="O325" s="3">
        <v>1906.1824999999999</v>
      </c>
      <c r="P325" s="8">
        <v>3097.6299999999997</v>
      </c>
      <c r="Q325" s="28">
        <f t="shared" si="5"/>
        <v>25019.062499999996</v>
      </c>
    </row>
    <row r="326" spans="1:17" ht="15" customHeight="1" x14ac:dyDescent="0.2">
      <c r="A326" s="1">
        <v>448</v>
      </c>
      <c r="B326" s="7" t="s">
        <v>43</v>
      </c>
      <c r="C326" s="7" t="s">
        <v>58</v>
      </c>
      <c r="D326" s="5"/>
      <c r="E326" s="26" t="s">
        <v>11</v>
      </c>
      <c r="F326" s="2" t="s">
        <v>11</v>
      </c>
      <c r="G326" s="3">
        <v>4058.7</v>
      </c>
      <c r="H326" s="3">
        <v>64044.959999999999</v>
      </c>
      <c r="I326" s="3">
        <v>4480.09</v>
      </c>
      <c r="J326" s="3">
        <v>64645.05</v>
      </c>
      <c r="K326" s="3">
        <v>8840</v>
      </c>
      <c r="L326" s="3">
        <v>75641.17</v>
      </c>
      <c r="M326" s="3">
        <v>11229.51</v>
      </c>
      <c r="N326" s="8">
        <v>68671.16</v>
      </c>
      <c r="O326" s="3">
        <v>7152.0750000000007</v>
      </c>
      <c r="P326" s="8">
        <v>68250.584999999992</v>
      </c>
      <c r="Q326" s="28">
        <f t="shared" si="5"/>
        <v>377013.30000000005</v>
      </c>
    </row>
    <row r="327" spans="1:17" ht="15" customHeight="1" x14ac:dyDescent="0.2">
      <c r="A327" s="1">
        <v>449</v>
      </c>
      <c r="B327" s="7" t="s">
        <v>43</v>
      </c>
      <c r="C327" s="7" t="s">
        <v>58</v>
      </c>
      <c r="D327" s="7"/>
      <c r="E327" s="2" t="s">
        <v>12</v>
      </c>
      <c r="F327" s="2" t="s">
        <v>12</v>
      </c>
      <c r="G327" s="3">
        <v>11358.48</v>
      </c>
      <c r="H327" s="3">
        <v>7937.41</v>
      </c>
      <c r="I327" s="3">
        <v>11331.44</v>
      </c>
      <c r="J327" s="3">
        <v>7284.8</v>
      </c>
      <c r="K327" s="3">
        <v>11568.9</v>
      </c>
      <c r="L327" s="3">
        <v>5995.1</v>
      </c>
      <c r="M327" s="3">
        <v>18025.21</v>
      </c>
      <c r="N327" s="8">
        <v>8460.3799999999992</v>
      </c>
      <c r="O327" s="3">
        <v>13071.0075</v>
      </c>
      <c r="P327" s="8">
        <v>7419.4224999999988</v>
      </c>
      <c r="Q327" s="28">
        <f t="shared" si="5"/>
        <v>102452.15000000001</v>
      </c>
    </row>
    <row r="328" spans="1:17" ht="15" customHeight="1" x14ac:dyDescent="0.2">
      <c r="A328" s="1">
        <v>450</v>
      </c>
      <c r="B328" s="7" t="s">
        <v>43</v>
      </c>
      <c r="C328" s="7" t="s">
        <v>58</v>
      </c>
      <c r="D328" s="5"/>
      <c r="E328" s="2" t="s">
        <v>13</v>
      </c>
      <c r="F328" s="2" t="s">
        <v>13</v>
      </c>
      <c r="G328" s="3">
        <v>39861.089999999997</v>
      </c>
      <c r="H328" s="3">
        <v>58195.64</v>
      </c>
      <c r="I328" s="3">
        <v>45086.49</v>
      </c>
      <c r="J328" s="3">
        <v>62432.63</v>
      </c>
      <c r="K328" s="3">
        <v>39186.089999999997</v>
      </c>
      <c r="L328" s="3">
        <v>55315.47</v>
      </c>
      <c r="M328" s="3">
        <v>35212.660000000003</v>
      </c>
      <c r="N328" s="8">
        <v>56295.77</v>
      </c>
      <c r="O328" s="3">
        <v>39836.582499999997</v>
      </c>
      <c r="P328" s="8">
        <v>58059.877499999995</v>
      </c>
      <c r="Q328" s="28">
        <f t="shared" si="5"/>
        <v>489482.3000000001</v>
      </c>
    </row>
    <row r="329" spans="1:17" ht="15" customHeight="1" x14ac:dyDescent="0.2">
      <c r="A329" s="1">
        <v>451</v>
      </c>
      <c r="B329" s="7" t="s">
        <v>43</v>
      </c>
      <c r="C329" s="7" t="s">
        <v>58</v>
      </c>
      <c r="D329" s="5"/>
      <c r="E329" s="2" t="s">
        <v>14</v>
      </c>
      <c r="F329" s="2" t="s">
        <v>14</v>
      </c>
      <c r="G329" s="3">
        <v>32903.14</v>
      </c>
      <c r="H329" s="3">
        <v>32842.99</v>
      </c>
      <c r="I329" s="3">
        <v>33085.040000000001</v>
      </c>
      <c r="J329" s="3">
        <v>30196.720000000001</v>
      </c>
      <c r="K329" s="3">
        <v>26832.560000000001</v>
      </c>
      <c r="L329" s="3">
        <v>23646.31</v>
      </c>
      <c r="M329" s="3">
        <v>21474.68</v>
      </c>
      <c r="N329" s="8">
        <v>24802.99</v>
      </c>
      <c r="O329" s="3">
        <v>28573.854999999996</v>
      </c>
      <c r="P329" s="8">
        <v>27872.252500000002</v>
      </c>
      <c r="Q329" s="28">
        <f t="shared" si="5"/>
        <v>282230.53749999998</v>
      </c>
    </row>
    <row r="330" spans="1:17" ht="15" customHeight="1" x14ac:dyDescent="0.2">
      <c r="A330" s="1">
        <v>452</v>
      </c>
      <c r="B330" s="7" t="s">
        <v>43</v>
      </c>
      <c r="C330" s="7" t="s">
        <v>59</v>
      </c>
      <c r="D330" s="26" t="s">
        <v>7</v>
      </c>
      <c r="E330" s="2"/>
      <c r="F330" s="2" t="s">
        <v>7</v>
      </c>
      <c r="G330" s="3">
        <v>202407</v>
      </c>
      <c r="H330" s="3">
        <v>224447</v>
      </c>
      <c r="I330" s="3">
        <v>202228</v>
      </c>
      <c r="J330" s="3">
        <v>224383</v>
      </c>
      <c r="K330" s="3">
        <v>202051</v>
      </c>
      <c r="L330" s="3">
        <v>224312</v>
      </c>
      <c r="M330" s="3">
        <v>201851</v>
      </c>
      <c r="N330" s="8">
        <v>224201</v>
      </c>
      <c r="O330" s="3">
        <v>202134.25</v>
      </c>
      <c r="P330" s="8">
        <v>224335.75</v>
      </c>
      <c r="Q330" s="28">
        <f t="shared" si="5"/>
        <v>2132350</v>
      </c>
    </row>
    <row r="331" spans="1:17" ht="15" customHeight="1" x14ac:dyDescent="0.2">
      <c r="A331" s="1">
        <v>454</v>
      </c>
      <c r="B331" s="7" t="s">
        <v>43</v>
      </c>
      <c r="C331" s="7" t="s">
        <v>59</v>
      </c>
      <c r="D331" s="5"/>
      <c r="E331" s="2" t="s">
        <v>8</v>
      </c>
      <c r="F331" s="2" t="s">
        <v>8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8">
        <v>0</v>
      </c>
      <c r="O331" s="3">
        <v>0</v>
      </c>
      <c r="P331" s="8">
        <v>0</v>
      </c>
      <c r="Q331" s="28">
        <f t="shared" si="5"/>
        <v>0</v>
      </c>
    </row>
    <row r="332" spans="1:17" ht="15" customHeight="1" x14ac:dyDescent="0.2">
      <c r="A332" s="1">
        <v>456</v>
      </c>
      <c r="B332" s="7" t="s">
        <v>43</v>
      </c>
      <c r="C332" s="7" t="s">
        <v>59</v>
      </c>
      <c r="D332" s="7"/>
      <c r="E332" s="7"/>
      <c r="F332" s="2" t="s">
        <v>9</v>
      </c>
      <c r="G332" s="3">
        <v>149206.91</v>
      </c>
      <c r="H332" s="3">
        <v>132441.31</v>
      </c>
      <c r="I332" s="3">
        <v>149555.46</v>
      </c>
      <c r="J332" s="3">
        <v>128335.41</v>
      </c>
      <c r="K332" s="3">
        <v>152935.07999999999</v>
      </c>
      <c r="L332" s="3">
        <v>127344.68</v>
      </c>
      <c r="M332" s="3">
        <v>149556.9</v>
      </c>
      <c r="N332" s="8">
        <v>125583.78</v>
      </c>
      <c r="O332" s="3">
        <v>150313.58749999999</v>
      </c>
      <c r="P332" s="8">
        <v>128426.29500000001</v>
      </c>
      <c r="Q332" s="28">
        <f t="shared" si="5"/>
        <v>1393699.4124999996</v>
      </c>
    </row>
    <row r="333" spans="1:17" ht="15" customHeight="1" x14ac:dyDescent="0.2">
      <c r="A333" s="1">
        <v>457</v>
      </c>
      <c r="B333" s="7" t="s">
        <v>43</v>
      </c>
      <c r="C333" s="7" t="s">
        <v>59</v>
      </c>
      <c r="D333" s="7"/>
      <c r="E333" s="7"/>
      <c r="F333" s="2" t="s">
        <v>10</v>
      </c>
      <c r="G333" s="3">
        <v>2378.17</v>
      </c>
      <c r="H333" s="3">
        <v>1828.3</v>
      </c>
      <c r="I333" s="3">
        <v>1217.02</v>
      </c>
      <c r="J333" s="3">
        <v>3834.56</v>
      </c>
      <c r="K333" s="3">
        <v>1227.1600000000001</v>
      </c>
      <c r="L333" s="3">
        <v>2698.01</v>
      </c>
      <c r="M333" s="3">
        <v>2203.2199999999998</v>
      </c>
      <c r="N333" s="8">
        <v>2422.0500000000002</v>
      </c>
      <c r="O333" s="3">
        <v>1756.3924999999999</v>
      </c>
      <c r="P333" s="8">
        <v>2695.7299999999996</v>
      </c>
      <c r="Q333" s="28">
        <f t="shared" si="5"/>
        <v>22260.612499999999</v>
      </c>
    </row>
    <row r="334" spans="1:17" ht="15" customHeight="1" x14ac:dyDescent="0.2">
      <c r="A334" s="1">
        <v>459</v>
      </c>
      <c r="B334" s="7" t="s">
        <v>43</v>
      </c>
      <c r="C334" s="7" t="s">
        <v>59</v>
      </c>
      <c r="D334" s="5"/>
      <c r="E334" s="2" t="s">
        <v>11</v>
      </c>
      <c r="F334" s="2" t="s">
        <v>11</v>
      </c>
      <c r="G334" s="3">
        <v>2342.17</v>
      </c>
      <c r="H334" s="3">
        <v>38173.58</v>
      </c>
      <c r="I334" s="3">
        <v>3879.7</v>
      </c>
      <c r="J334" s="3">
        <v>38563.93</v>
      </c>
      <c r="K334" s="3">
        <v>2992.27</v>
      </c>
      <c r="L334" s="3">
        <v>38889.26</v>
      </c>
      <c r="M334" s="3">
        <v>3755.13</v>
      </c>
      <c r="N334" s="8">
        <v>35643.94</v>
      </c>
      <c r="O334" s="3">
        <v>3242.3175000000001</v>
      </c>
      <c r="P334" s="8">
        <v>37817.677500000005</v>
      </c>
      <c r="Q334" s="28">
        <f t="shared" si="5"/>
        <v>205299.97500000003</v>
      </c>
    </row>
    <row r="335" spans="1:17" ht="15" customHeight="1" x14ac:dyDescent="0.2">
      <c r="A335" s="1">
        <v>460</v>
      </c>
      <c r="B335" s="7" t="s">
        <v>43</v>
      </c>
      <c r="C335" s="7" t="s">
        <v>59</v>
      </c>
      <c r="D335" s="5"/>
      <c r="E335" s="2" t="s">
        <v>12</v>
      </c>
      <c r="F335" s="2" t="s">
        <v>12</v>
      </c>
      <c r="G335" s="3">
        <v>4861.74</v>
      </c>
      <c r="H335" s="3">
        <v>3516.84</v>
      </c>
      <c r="I335" s="3">
        <v>6751.2</v>
      </c>
      <c r="J335" s="3">
        <v>3751.96</v>
      </c>
      <c r="K335" s="3">
        <v>6919.18</v>
      </c>
      <c r="L335" s="3">
        <v>3899.03</v>
      </c>
      <c r="M335" s="3">
        <v>6910.97</v>
      </c>
      <c r="N335" s="8">
        <v>4678.8</v>
      </c>
      <c r="O335" s="3">
        <v>6360.7725</v>
      </c>
      <c r="P335" s="8">
        <v>3961.6575000000003</v>
      </c>
      <c r="Q335" s="28">
        <f t="shared" si="5"/>
        <v>51612.15</v>
      </c>
    </row>
    <row r="336" spans="1:17" ht="15" customHeight="1" x14ac:dyDescent="0.2">
      <c r="A336" s="1">
        <v>461</v>
      </c>
      <c r="B336" s="7" t="s">
        <v>43</v>
      </c>
      <c r="C336" s="7" t="s">
        <v>59</v>
      </c>
      <c r="D336" s="5"/>
      <c r="E336" s="26" t="s">
        <v>13</v>
      </c>
      <c r="F336" s="2" t="s">
        <v>13</v>
      </c>
      <c r="G336" s="3">
        <v>27341.83</v>
      </c>
      <c r="H336" s="3">
        <v>32698.22</v>
      </c>
      <c r="I336" s="3">
        <v>26462.81</v>
      </c>
      <c r="J336" s="3">
        <v>35360.71</v>
      </c>
      <c r="K336" s="3">
        <v>22555.97</v>
      </c>
      <c r="L336" s="3">
        <v>35987.01</v>
      </c>
      <c r="M336" s="3">
        <v>26238.17</v>
      </c>
      <c r="N336" s="8">
        <v>41631.14</v>
      </c>
      <c r="O336" s="3">
        <v>25649.695</v>
      </c>
      <c r="P336" s="8">
        <v>36419.270000000004</v>
      </c>
      <c r="Q336" s="28">
        <f t="shared" si="5"/>
        <v>310344.82500000007</v>
      </c>
    </row>
    <row r="337" spans="1:17" ht="15" customHeight="1" x14ac:dyDescent="0.2">
      <c r="A337" s="1">
        <v>462</v>
      </c>
      <c r="B337" s="7" t="s">
        <v>43</v>
      </c>
      <c r="C337" s="7" t="s">
        <v>59</v>
      </c>
      <c r="D337" s="5"/>
      <c r="E337" s="26" t="s">
        <v>14</v>
      </c>
      <c r="F337" s="2" t="s">
        <v>14</v>
      </c>
      <c r="G337" s="3">
        <v>16276.18</v>
      </c>
      <c r="H337" s="3">
        <v>15788.76</v>
      </c>
      <c r="I337" s="3">
        <v>14361.81</v>
      </c>
      <c r="J337" s="3">
        <v>14536.44</v>
      </c>
      <c r="K337" s="3">
        <v>15421.33</v>
      </c>
      <c r="L337" s="3">
        <v>15494.01</v>
      </c>
      <c r="M337" s="3">
        <v>13186.59</v>
      </c>
      <c r="N337" s="8">
        <v>14241.29</v>
      </c>
      <c r="O337" s="3">
        <v>14811.477500000001</v>
      </c>
      <c r="P337" s="8">
        <v>15015.125</v>
      </c>
      <c r="Q337" s="28">
        <f t="shared" si="5"/>
        <v>149133.01250000001</v>
      </c>
    </row>
    <row r="338" spans="1:17" ht="15" customHeight="1" x14ac:dyDescent="0.2">
      <c r="A338" s="1">
        <v>463</v>
      </c>
      <c r="B338" s="7" t="s">
        <v>43</v>
      </c>
      <c r="C338" s="7" t="s">
        <v>60</v>
      </c>
      <c r="D338" s="2" t="s">
        <v>7</v>
      </c>
      <c r="E338" s="2"/>
      <c r="F338" s="2" t="s">
        <v>7</v>
      </c>
      <c r="G338" s="3">
        <v>362370</v>
      </c>
      <c r="H338" s="3">
        <v>402080</v>
      </c>
      <c r="I338" s="3">
        <v>362044</v>
      </c>
      <c r="J338" s="3">
        <v>401971</v>
      </c>
      <c r="K338" s="3">
        <v>361708</v>
      </c>
      <c r="L338" s="3">
        <v>401837</v>
      </c>
      <c r="M338" s="3">
        <v>361328</v>
      </c>
      <c r="N338" s="8">
        <v>401633</v>
      </c>
      <c r="O338" s="3">
        <v>361862.5</v>
      </c>
      <c r="P338" s="8">
        <v>401880.25</v>
      </c>
      <c r="Q338" s="28">
        <f t="shared" si="5"/>
        <v>3818713.75</v>
      </c>
    </row>
    <row r="339" spans="1:17" ht="15" customHeight="1" x14ac:dyDescent="0.2">
      <c r="A339" s="1">
        <v>465</v>
      </c>
      <c r="B339" s="7" t="s">
        <v>43</v>
      </c>
      <c r="C339" s="7" t="s">
        <v>60</v>
      </c>
      <c r="D339" s="5"/>
      <c r="E339" s="2" t="s">
        <v>8</v>
      </c>
      <c r="F339" s="2" t="s">
        <v>8</v>
      </c>
      <c r="G339" s="3">
        <v>8775.7000000000007</v>
      </c>
      <c r="H339" s="3">
        <v>2617.83</v>
      </c>
      <c r="I339" s="3">
        <v>14703.89</v>
      </c>
      <c r="J339" s="3">
        <v>3072.76</v>
      </c>
      <c r="K339" s="3">
        <v>0</v>
      </c>
      <c r="L339" s="3">
        <v>0</v>
      </c>
      <c r="M339" s="3">
        <v>3712.98</v>
      </c>
      <c r="N339" s="8">
        <v>2075.2600000000002</v>
      </c>
      <c r="O339" s="3">
        <v>6798.1424999999999</v>
      </c>
      <c r="P339" s="8">
        <v>1941.4625000000001</v>
      </c>
      <c r="Q339" s="28">
        <f t="shared" si="5"/>
        <v>43698.025000000009</v>
      </c>
    </row>
    <row r="340" spans="1:17" ht="15" customHeight="1" x14ac:dyDescent="0.2">
      <c r="A340" s="1">
        <v>467</v>
      </c>
      <c r="B340" s="7" t="s">
        <v>43</v>
      </c>
      <c r="C340" s="7" t="s">
        <v>60</v>
      </c>
      <c r="D340" s="5"/>
      <c r="E340" s="7"/>
      <c r="F340" s="2" t="s">
        <v>9</v>
      </c>
      <c r="G340" s="3">
        <v>258829.4</v>
      </c>
      <c r="H340" s="3">
        <v>235097.47</v>
      </c>
      <c r="I340" s="3">
        <v>245524.43</v>
      </c>
      <c r="J340" s="3">
        <v>217494.38</v>
      </c>
      <c r="K340" s="3">
        <v>265851.3</v>
      </c>
      <c r="L340" s="3">
        <v>215055.37</v>
      </c>
      <c r="M340" s="3">
        <v>256371.85</v>
      </c>
      <c r="N340" s="8">
        <v>220569.71</v>
      </c>
      <c r="O340" s="3">
        <v>256644.24499999997</v>
      </c>
      <c r="P340" s="8">
        <v>222054.23249999998</v>
      </c>
      <c r="Q340" s="28">
        <f t="shared" si="5"/>
        <v>2393492.3875000002</v>
      </c>
    </row>
    <row r="341" spans="1:17" ht="15" customHeight="1" x14ac:dyDescent="0.2">
      <c r="A341" s="1">
        <v>468</v>
      </c>
      <c r="B341" s="7" t="s">
        <v>43</v>
      </c>
      <c r="C341" s="7" t="s">
        <v>60</v>
      </c>
      <c r="D341" s="5"/>
      <c r="E341" s="7"/>
      <c r="F341" s="2" t="s">
        <v>10</v>
      </c>
      <c r="G341" s="3">
        <v>951.33</v>
      </c>
      <c r="H341" s="3">
        <v>481.46</v>
      </c>
      <c r="I341" s="3">
        <v>1486.84</v>
      </c>
      <c r="J341" s="3">
        <v>3108.57</v>
      </c>
      <c r="K341" s="3">
        <v>849.27</v>
      </c>
      <c r="L341" s="3">
        <v>2489.1799999999998</v>
      </c>
      <c r="M341" s="3">
        <v>1284.6199999999999</v>
      </c>
      <c r="N341" s="8">
        <v>3510.29</v>
      </c>
      <c r="O341" s="3">
        <v>1143.0149999999999</v>
      </c>
      <c r="P341" s="8">
        <v>2397.375</v>
      </c>
      <c r="Q341" s="28">
        <f t="shared" si="5"/>
        <v>17701.95</v>
      </c>
    </row>
    <row r="342" spans="1:17" ht="15" customHeight="1" x14ac:dyDescent="0.2">
      <c r="A342" s="1">
        <v>470</v>
      </c>
      <c r="B342" s="7" t="s">
        <v>43</v>
      </c>
      <c r="C342" s="7" t="s">
        <v>60</v>
      </c>
      <c r="D342" s="5"/>
      <c r="E342" s="2" t="s">
        <v>11</v>
      </c>
      <c r="F342" s="2" t="s">
        <v>11</v>
      </c>
      <c r="G342" s="3">
        <v>980.25</v>
      </c>
      <c r="H342" s="3">
        <v>49961.16</v>
      </c>
      <c r="I342" s="3">
        <v>542.78</v>
      </c>
      <c r="J342" s="3">
        <v>64114.26</v>
      </c>
      <c r="K342" s="3">
        <v>2691.24</v>
      </c>
      <c r="L342" s="3">
        <v>67343.240000000005</v>
      </c>
      <c r="M342" s="3">
        <v>1804.93</v>
      </c>
      <c r="N342" s="8">
        <v>64854.45</v>
      </c>
      <c r="O342" s="3">
        <v>1504.8</v>
      </c>
      <c r="P342" s="8">
        <v>61568.277500000011</v>
      </c>
      <c r="Q342" s="28">
        <f t="shared" si="5"/>
        <v>315365.38750000001</v>
      </c>
    </row>
    <row r="343" spans="1:17" ht="15" customHeight="1" x14ac:dyDescent="0.2">
      <c r="A343" s="1">
        <v>471</v>
      </c>
      <c r="B343" s="7" t="s">
        <v>43</v>
      </c>
      <c r="C343" s="7" t="s">
        <v>60</v>
      </c>
      <c r="D343" s="7"/>
      <c r="E343" s="2" t="s">
        <v>12</v>
      </c>
      <c r="F343" s="2" t="s">
        <v>12</v>
      </c>
      <c r="G343" s="3">
        <v>15158.95</v>
      </c>
      <c r="H343" s="3">
        <v>12948.73</v>
      </c>
      <c r="I343" s="3">
        <v>16864.39</v>
      </c>
      <c r="J343" s="3">
        <v>8360.85</v>
      </c>
      <c r="K343" s="3">
        <v>12092.53</v>
      </c>
      <c r="L343" s="3">
        <v>9762.0300000000007</v>
      </c>
      <c r="M343" s="3">
        <v>16374.82</v>
      </c>
      <c r="N343" s="8">
        <v>8356.83</v>
      </c>
      <c r="O343" s="3">
        <v>15122.672500000001</v>
      </c>
      <c r="P343" s="8">
        <v>9857.11</v>
      </c>
      <c r="Q343" s="28">
        <f t="shared" si="5"/>
        <v>124898.91249999999</v>
      </c>
    </row>
    <row r="344" spans="1:17" ht="15" customHeight="1" x14ac:dyDescent="0.2">
      <c r="A344" s="1">
        <v>472</v>
      </c>
      <c r="B344" s="7" t="s">
        <v>43</v>
      </c>
      <c r="C344" s="7" t="s">
        <v>60</v>
      </c>
      <c r="D344" s="7"/>
      <c r="E344" s="2" t="s">
        <v>13</v>
      </c>
      <c r="F344" s="2" t="s">
        <v>13</v>
      </c>
      <c r="G344" s="3">
        <v>54720.09</v>
      </c>
      <c r="H344" s="3">
        <v>72267.539999999994</v>
      </c>
      <c r="I344" s="3">
        <v>60985.52</v>
      </c>
      <c r="J344" s="3">
        <v>77207.31</v>
      </c>
      <c r="K344" s="3">
        <v>56686.42</v>
      </c>
      <c r="L344" s="3">
        <v>78689.73</v>
      </c>
      <c r="M344" s="3">
        <v>58005.39</v>
      </c>
      <c r="N344" s="8">
        <v>76416.210000000006</v>
      </c>
      <c r="O344" s="3">
        <v>57599.354999999996</v>
      </c>
      <c r="P344" s="8">
        <v>76145.197499999995</v>
      </c>
      <c r="Q344" s="28">
        <f t="shared" si="5"/>
        <v>668722.76249999995</v>
      </c>
    </row>
    <row r="345" spans="1:17" ht="15" customHeight="1" x14ac:dyDescent="0.2">
      <c r="A345" s="1">
        <v>473</v>
      </c>
      <c r="B345" s="7" t="s">
        <v>43</v>
      </c>
      <c r="C345" s="7" t="s">
        <v>60</v>
      </c>
      <c r="D345" s="5"/>
      <c r="E345" s="2" t="s">
        <v>14</v>
      </c>
      <c r="F345" s="2" t="s">
        <v>14</v>
      </c>
      <c r="G345" s="3">
        <v>22954.27</v>
      </c>
      <c r="H345" s="3">
        <v>28705.81</v>
      </c>
      <c r="I345" s="3">
        <v>21936.15</v>
      </c>
      <c r="J345" s="3">
        <v>28612.86</v>
      </c>
      <c r="K345" s="3">
        <v>23537.24</v>
      </c>
      <c r="L345" s="3">
        <v>28497.45</v>
      </c>
      <c r="M345" s="3">
        <v>23773.4</v>
      </c>
      <c r="N345" s="8">
        <v>25850.240000000002</v>
      </c>
      <c r="O345" s="3">
        <v>23050.264999999999</v>
      </c>
      <c r="P345" s="8">
        <v>27916.59</v>
      </c>
      <c r="Q345" s="28">
        <f t="shared" si="5"/>
        <v>254834.27499999999</v>
      </c>
    </row>
    <row r="346" spans="1:17" ht="15" customHeight="1" x14ac:dyDescent="0.2">
      <c r="A346" s="1">
        <v>474</v>
      </c>
      <c r="B346" s="7" t="s">
        <v>61</v>
      </c>
      <c r="C346" s="7" t="s">
        <v>62</v>
      </c>
      <c r="D346" s="26" t="s">
        <v>7</v>
      </c>
      <c r="E346" s="2"/>
      <c r="F346" s="2" t="s">
        <v>7</v>
      </c>
      <c r="G346" s="3">
        <v>973611</v>
      </c>
      <c r="H346" s="3">
        <v>1077518</v>
      </c>
      <c r="I346" s="3">
        <v>973761</v>
      </c>
      <c r="J346" s="3">
        <v>1078192</v>
      </c>
      <c r="K346" s="3">
        <v>973830</v>
      </c>
      <c r="L346" s="3">
        <v>1078776</v>
      </c>
      <c r="M346" s="3">
        <v>973660</v>
      </c>
      <c r="N346" s="8">
        <v>1079077</v>
      </c>
      <c r="O346" s="3">
        <v>973715.5</v>
      </c>
      <c r="P346" s="8">
        <v>1078390.75</v>
      </c>
      <c r="Q346" s="28">
        <f t="shared" si="5"/>
        <v>10260531.25</v>
      </c>
    </row>
    <row r="347" spans="1:17" ht="15" customHeight="1" x14ac:dyDescent="0.2">
      <c r="A347" s="1">
        <v>476</v>
      </c>
      <c r="B347" s="7" t="s">
        <v>61</v>
      </c>
      <c r="C347" s="7" t="s">
        <v>62</v>
      </c>
      <c r="D347" s="5"/>
      <c r="E347" s="26" t="s">
        <v>8</v>
      </c>
      <c r="F347" s="2" t="s">
        <v>8</v>
      </c>
      <c r="G347" s="3">
        <v>9719.99</v>
      </c>
      <c r="H347" s="3">
        <v>8026.3</v>
      </c>
      <c r="I347" s="3">
        <v>13117.76</v>
      </c>
      <c r="J347" s="3">
        <v>4080.53</v>
      </c>
      <c r="K347" s="3">
        <v>0</v>
      </c>
      <c r="L347" s="3">
        <v>0</v>
      </c>
      <c r="M347" s="3">
        <v>0</v>
      </c>
      <c r="N347" s="8">
        <v>0</v>
      </c>
      <c r="O347" s="3">
        <v>5709.4375</v>
      </c>
      <c r="P347" s="8">
        <v>3026.7075</v>
      </c>
      <c r="Q347" s="28">
        <f t="shared" si="5"/>
        <v>43680.724999999999</v>
      </c>
    </row>
    <row r="348" spans="1:17" ht="15" customHeight="1" x14ac:dyDescent="0.2">
      <c r="A348" s="1">
        <v>478</v>
      </c>
      <c r="B348" s="7" t="s">
        <v>61</v>
      </c>
      <c r="C348" s="7" t="s">
        <v>62</v>
      </c>
      <c r="D348" s="5"/>
      <c r="E348" s="5"/>
      <c r="F348" s="2" t="s">
        <v>9</v>
      </c>
      <c r="G348" s="3">
        <v>649378.11</v>
      </c>
      <c r="H348" s="3">
        <v>533155.69999999995</v>
      </c>
      <c r="I348" s="3">
        <v>643241.59</v>
      </c>
      <c r="J348" s="3">
        <v>541557.35</v>
      </c>
      <c r="K348" s="3">
        <v>665168.17000000004</v>
      </c>
      <c r="L348" s="3">
        <v>592251.28</v>
      </c>
      <c r="M348" s="3">
        <v>694029.45</v>
      </c>
      <c r="N348" s="8">
        <v>610888.97</v>
      </c>
      <c r="O348" s="3">
        <v>662954.33000000007</v>
      </c>
      <c r="P348" s="8">
        <v>569463.32499999995</v>
      </c>
      <c r="Q348" s="28">
        <f t="shared" si="5"/>
        <v>6162088.2750000004</v>
      </c>
    </row>
    <row r="349" spans="1:17" ht="15" customHeight="1" x14ac:dyDescent="0.2">
      <c r="A349" s="1">
        <v>479</v>
      </c>
      <c r="B349" s="7" t="s">
        <v>61</v>
      </c>
      <c r="C349" s="7" t="s">
        <v>62</v>
      </c>
      <c r="D349" s="7"/>
      <c r="E349" s="7"/>
      <c r="F349" s="2" t="s">
        <v>10</v>
      </c>
      <c r="G349" s="3">
        <v>3617.69</v>
      </c>
      <c r="H349" s="3">
        <v>3469.08</v>
      </c>
      <c r="I349" s="3">
        <v>9049.76</v>
      </c>
      <c r="J349" s="3">
        <v>4883.1400000000003</v>
      </c>
      <c r="K349" s="3">
        <v>8520.65</v>
      </c>
      <c r="L349" s="3">
        <v>5487.45</v>
      </c>
      <c r="M349" s="3">
        <v>6079.59</v>
      </c>
      <c r="N349" s="8">
        <v>12736.09</v>
      </c>
      <c r="O349" s="3">
        <v>6816.9224999999997</v>
      </c>
      <c r="P349" s="8">
        <v>6643.9400000000005</v>
      </c>
      <c r="Q349" s="28">
        <f t="shared" si="5"/>
        <v>67304.3125</v>
      </c>
    </row>
    <row r="350" spans="1:17" ht="15" customHeight="1" x14ac:dyDescent="0.2">
      <c r="A350" s="1">
        <v>481</v>
      </c>
      <c r="B350" s="7" t="s">
        <v>61</v>
      </c>
      <c r="C350" s="7" t="s">
        <v>62</v>
      </c>
      <c r="D350" s="5"/>
      <c r="E350" s="2" t="s">
        <v>11</v>
      </c>
      <c r="F350" s="2" t="s">
        <v>11</v>
      </c>
      <c r="G350" s="3">
        <v>2122.5</v>
      </c>
      <c r="H350" s="3">
        <v>193544.31</v>
      </c>
      <c r="I350" s="3">
        <v>2441.9899999999998</v>
      </c>
      <c r="J350" s="3">
        <v>171102.18</v>
      </c>
      <c r="K350" s="3">
        <v>4435.33</v>
      </c>
      <c r="L350" s="3">
        <v>162949.75</v>
      </c>
      <c r="M350" s="3">
        <v>6031.1</v>
      </c>
      <c r="N350" s="8">
        <v>149632.35999999999</v>
      </c>
      <c r="O350" s="3">
        <v>3757.73</v>
      </c>
      <c r="P350" s="8">
        <v>169307.15</v>
      </c>
      <c r="Q350" s="28">
        <f t="shared" si="5"/>
        <v>865324.4</v>
      </c>
    </row>
    <row r="351" spans="1:17" ht="15" customHeight="1" x14ac:dyDescent="0.2">
      <c r="A351" s="1">
        <v>482</v>
      </c>
      <c r="B351" s="7" t="s">
        <v>61</v>
      </c>
      <c r="C351" s="7" t="s">
        <v>62</v>
      </c>
      <c r="D351" s="5"/>
      <c r="E351" s="2" t="s">
        <v>12</v>
      </c>
      <c r="F351" s="2" t="s">
        <v>12</v>
      </c>
      <c r="G351" s="3">
        <v>61036.59</v>
      </c>
      <c r="H351" s="3">
        <v>30907.200000000001</v>
      </c>
      <c r="I351" s="3">
        <v>54921.42</v>
      </c>
      <c r="J351" s="3">
        <v>26820.82</v>
      </c>
      <c r="K351" s="3">
        <v>46164.62</v>
      </c>
      <c r="L351" s="3">
        <v>24439.11</v>
      </c>
      <c r="M351" s="3">
        <v>52077.3</v>
      </c>
      <c r="N351" s="8">
        <v>22013.56</v>
      </c>
      <c r="O351" s="3">
        <v>53549.982499999998</v>
      </c>
      <c r="P351" s="8">
        <v>26045.172500000001</v>
      </c>
      <c r="Q351" s="28">
        <f t="shared" si="5"/>
        <v>397975.77499999997</v>
      </c>
    </row>
    <row r="352" spans="1:17" ht="15" customHeight="1" x14ac:dyDescent="0.2">
      <c r="A352" s="1">
        <v>483</v>
      </c>
      <c r="B352" s="7" t="s">
        <v>61</v>
      </c>
      <c r="C352" s="7" t="s">
        <v>62</v>
      </c>
      <c r="D352" s="5"/>
      <c r="E352" s="2" t="s">
        <v>13</v>
      </c>
      <c r="F352" s="2" t="s">
        <v>13</v>
      </c>
      <c r="G352" s="3">
        <v>154060.35999999999</v>
      </c>
      <c r="H352" s="3">
        <v>208633.12</v>
      </c>
      <c r="I352" s="3">
        <v>163098.4</v>
      </c>
      <c r="J352" s="3">
        <v>221263.92</v>
      </c>
      <c r="K352" s="3">
        <v>150779.14000000001</v>
      </c>
      <c r="L352" s="3">
        <v>200476.35</v>
      </c>
      <c r="M352" s="3">
        <v>134752.59</v>
      </c>
      <c r="N352" s="8">
        <v>188497.87</v>
      </c>
      <c r="O352" s="3">
        <v>150672.6225</v>
      </c>
      <c r="P352" s="8">
        <v>204717.815</v>
      </c>
      <c r="Q352" s="28">
        <f t="shared" si="5"/>
        <v>1776952.1875</v>
      </c>
    </row>
    <row r="353" spans="1:17" ht="15" customHeight="1" x14ac:dyDescent="0.2">
      <c r="A353" s="1">
        <v>484</v>
      </c>
      <c r="B353" s="7" t="s">
        <v>61</v>
      </c>
      <c r="C353" s="7" t="s">
        <v>62</v>
      </c>
      <c r="D353" s="5"/>
      <c r="E353" s="2" t="s">
        <v>14</v>
      </c>
      <c r="F353" s="2" t="s">
        <v>14</v>
      </c>
      <c r="G353" s="3">
        <v>93675.76</v>
      </c>
      <c r="H353" s="3">
        <v>99782.29</v>
      </c>
      <c r="I353" s="3">
        <v>87890.08</v>
      </c>
      <c r="J353" s="3">
        <v>108484.06</v>
      </c>
      <c r="K353" s="3">
        <v>98762.09</v>
      </c>
      <c r="L353" s="3">
        <v>93172.06</v>
      </c>
      <c r="M353" s="3">
        <v>80689.98</v>
      </c>
      <c r="N353" s="8">
        <v>95308.15</v>
      </c>
      <c r="O353" s="3">
        <v>90254.477499999994</v>
      </c>
      <c r="P353" s="8">
        <v>99186.639999999985</v>
      </c>
      <c r="Q353" s="28">
        <f t="shared" si="5"/>
        <v>947205.58750000014</v>
      </c>
    </row>
    <row r="354" spans="1:17" ht="15" customHeight="1" x14ac:dyDescent="0.2">
      <c r="A354" s="1">
        <v>485</v>
      </c>
      <c r="B354" s="7" t="s">
        <v>61</v>
      </c>
      <c r="C354" s="7" t="s">
        <v>63</v>
      </c>
      <c r="D354" s="2" t="s">
        <v>7</v>
      </c>
      <c r="E354" s="2"/>
      <c r="F354" s="2" t="s">
        <v>7</v>
      </c>
      <c r="G354" s="3">
        <v>462716</v>
      </c>
      <c r="H354" s="3">
        <v>512290</v>
      </c>
      <c r="I354" s="3">
        <v>462175</v>
      </c>
      <c r="J354" s="3">
        <v>511939</v>
      </c>
      <c r="K354" s="3">
        <v>461610</v>
      </c>
      <c r="L354" s="3">
        <v>511547</v>
      </c>
      <c r="M354" s="3">
        <v>460943</v>
      </c>
      <c r="N354" s="8">
        <v>511036</v>
      </c>
      <c r="O354" s="3">
        <v>461861</v>
      </c>
      <c r="P354" s="8">
        <v>511703</v>
      </c>
      <c r="Q354" s="28">
        <f t="shared" si="5"/>
        <v>4867820</v>
      </c>
    </row>
    <row r="355" spans="1:17" ht="15" customHeight="1" x14ac:dyDescent="0.2">
      <c r="A355" s="1">
        <v>487</v>
      </c>
      <c r="B355" s="7" t="s">
        <v>61</v>
      </c>
      <c r="C355" s="7" t="s">
        <v>63</v>
      </c>
      <c r="D355" s="7"/>
      <c r="E355" s="2" t="s">
        <v>8</v>
      </c>
      <c r="F355" s="2" t="s">
        <v>8</v>
      </c>
      <c r="G355" s="3">
        <v>4599.17</v>
      </c>
      <c r="H355" s="3">
        <v>4411.5600000000004</v>
      </c>
      <c r="I355" s="3">
        <v>4019.63</v>
      </c>
      <c r="J355" s="3">
        <v>3132.27</v>
      </c>
      <c r="K355" s="3">
        <v>0</v>
      </c>
      <c r="L355" s="3">
        <v>0</v>
      </c>
      <c r="M355" s="3">
        <v>630.79999999999995</v>
      </c>
      <c r="N355" s="8">
        <v>603.63</v>
      </c>
      <c r="O355" s="3">
        <v>2312.3999999999996</v>
      </c>
      <c r="P355" s="8">
        <v>2036.865</v>
      </c>
      <c r="Q355" s="28">
        <f t="shared" si="5"/>
        <v>21746.325000000001</v>
      </c>
    </row>
    <row r="356" spans="1:17" ht="15" customHeight="1" x14ac:dyDescent="0.2">
      <c r="A356" s="1">
        <v>489</v>
      </c>
      <c r="B356" s="7" t="s">
        <v>61</v>
      </c>
      <c r="C356" s="7" t="s">
        <v>63</v>
      </c>
      <c r="D356" s="5"/>
      <c r="E356" s="7"/>
      <c r="F356" s="2" t="s">
        <v>9</v>
      </c>
      <c r="G356" s="3">
        <v>345577.18</v>
      </c>
      <c r="H356" s="3">
        <v>294743.14</v>
      </c>
      <c r="I356" s="3">
        <v>342003.92</v>
      </c>
      <c r="J356" s="3">
        <v>288505.76</v>
      </c>
      <c r="K356" s="3">
        <v>362009.72</v>
      </c>
      <c r="L356" s="3">
        <v>297912.7</v>
      </c>
      <c r="M356" s="3">
        <v>357880.3</v>
      </c>
      <c r="N356" s="8">
        <v>295654.83</v>
      </c>
      <c r="O356" s="3">
        <v>351867.77999999997</v>
      </c>
      <c r="P356" s="8">
        <v>294204.10750000004</v>
      </c>
      <c r="Q356" s="28">
        <f t="shared" si="5"/>
        <v>3230359.4374999995</v>
      </c>
    </row>
    <row r="357" spans="1:17" ht="15" customHeight="1" x14ac:dyDescent="0.2">
      <c r="A357" s="1">
        <v>490</v>
      </c>
      <c r="B357" s="7" t="s">
        <v>61</v>
      </c>
      <c r="C357" s="7" t="s">
        <v>63</v>
      </c>
      <c r="D357" s="5"/>
      <c r="E357" s="7"/>
      <c r="F357" s="2" t="s">
        <v>10</v>
      </c>
      <c r="G357" s="3">
        <v>2767.69</v>
      </c>
      <c r="H357" s="3">
        <v>4771.7299999999996</v>
      </c>
      <c r="I357" s="3">
        <v>4587.16</v>
      </c>
      <c r="J357" s="3">
        <v>5439.26</v>
      </c>
      <c r="K357" s="3">
        <v>1972.28</v>
      </c>
      <c r="L357" s="3">
        <v>2496.4</v>
      </c>
      <c r="M357" s="3">
        <v>1099.92</v>
      </c>
      <c r="N357" s="8">
        <v>6920.64</v>
      </c>
      <c r="O357" s="3">
        <v>2606.7625000000003</v>
      </c>
      <c r="P357" s="8">
        <v>4907.0074999999997</v>
      </c>
      <c r="Q357" s="28">
        <f t="shared" si="5"/>
        <v>37568.850000000006</v>
      </c>
    </row>
    <row r="358" spans="1:17" ht="15" customHeight="1" x14ac:dyDescent="0.2">
      <c r="A358" s="1">
        <v>492</v>
      </c>
      <c r="B358" s="7" t="s">
        <v>61</v>
      </c>
      <c r="C358" s="7" t="s">
        <v>63</v>
      </c>
      <c r="D358" s="5"/>
      <c r="E358" s="26" t="s">
        <v>11</v>
      </c>
      <c r="F358" s="2" t="s">
        <v>11</v>
      </c>
      <c r="G358" s="3">
        <v>6205.47</v>
      </c>
      <c r="H358" s="3">
        <v>72115</v>
      </c>
      <c r="I358" s="3">
        <v>9177.6299999999992</v>
      </c>
      <c r="J358" s="3">
        <v>80208.87</v>
      </c>
      <c r="K358" s="3">
        <v>5746.89</v>
      </c>
      <c r="L358" s="3">
        <v>74007.39</v>
      </c>
      <c r="M358" s="3">
        <v>6912.83</v>
      </c>
      <c r="N358" s="8">
        <v>80408.460000000006</v>
      </c>
      <c r="O358" s="3">
        <v>7010.7049999999999</v>
      </c>
      <c r="P358" s="8">
        <v>76684.930000000008</v>
      </c>
      <c r="Q358" s="28">
        <f t="shared" si="5"/>
        <v>418478.17499999999</v>
      </c>
    </row>
    <row r="359" spans="1:17" ht="15" customHeight="1" x14ac:dyDescent="0.2">
      <c r="A359" s="1">
        <v>493</v>
      </c>
      <c r="B359" s="7" t="s">
        <v>61</v>
      </c>
      <c r="C359" s="7" t="s">
        <v>63</v>
      </c>
      <c r="D359" s="5"/>
      <c r="E359" s="26" t="s">
        <v>12</v>
      </c>
      <c r="F359" s="2" t="s">
        <v>12</v>
      </c>
      <c r="G359" s="3">
        <v>8457.34</v>
      </c>
      <c r="H359" s="3">
        <v>3745.61</v>
      </c>
      <c r="I359" s="3">
        <v>6072.7</v>
      </c>
      <c r="J359" s="3">
        <v>4666.28</v>
      </c>
      <c r="K359" s="3">
        <v>4607.3</v>
      </c>
      <c r="L359" s="3">
        <v>3988.33</v>
      </c>
      <c r="M359" s="3">
        <v>7722.42</v>
      </c>
      <c r="N359" s="8">
        <v>2941.58</v>
      </c>
      <c r="O359" s="3">
        <v>6714.9400000000005</v>
      </c>
      <c r="P359" s="8">
        <v>3835.45</v>
      </c>
      <c r="Q359" s="28">
        <f t="shared" si="5"/>
        <v>52751.95</v>
      </c>
    </row>
    <row r="360" spans="1:17" ht="15" customHeight="1" x14ac:dyDescent="0.2">
      <c r="A360" s="1">
        <v>494</v>
      </c>
      <c r="B360" s="7" t="s">
        <v>61</v>
      </c>
      <c r="C360" s="7" t="s">
        <v>63</v>
      </c>
      <c r="D360" s="7"/>
      <c r="E360" s="2" t="s">
        <v>13</v>
      </c>
      <c r="F360" s="2" t="s">
        <v>13</v>
      </c>
      <c r="G360" s="3">
        <v>56181.84</v>
      </c>
      <c r="H360" s="3">
        <v>86832.5</v>
      </c>
      <c r="I360" s="3">
        <v>58565.1</v>
      </c>
      <c r="J360" s="3">
        <v>82976.820000000007</v>
      </c>
      <c r="K360" s="3">
        <v>48062.32</v>
      </c>
      <c r="L360" s="3">
        <v>87366.77</v>
      </c>
      <c r="M360" s="3">
        <v>42628.3</v>
      </c>
      <c r="N360" s="8">
        <v>81125.350000000006</v>
      </c>
      <c r="O360" s="3">
        <v>51359.39</v>
      </c>
      <c r="P360" s="8">
        <v>84575.360000000015</v>
      </c>
      <c r="Q360" s="28">
        <f t="shared" si="5"/>
        <v>679673.75</v>
      </c>
    </row>
    <row r="361" spans="1:17" ht="15" customHeight="1" x14ac:dyDescent="0.2">
      <c r="A361" s="1">
        <v>495</v>
      </c>
      <c r="B361" s="7" t="s">
        <v>61</v>
      </c>
      <c r="C361" s="7" t="s">
        <v>63</v>
      </c>
      <c r="D361" s="5"/>
      <c r="E361" s="2" t="s">
        <v>14</v>
      </c>
      <c r="F361" s="2" t="s">
        <v>14</v>
      </c>
      <c r="G361" s="3">
        <v>38927.32</v>
      </c>
      <c r="H361" s="3">
        <v>45670.47</v>
      </c>
      <c r="I361" s="3">
        <v>37748.86</v>
      </c>
      <c r="J361" s="3">
        <v>47009.74</v>
      </c>
      <c r="K361" s="3">
        <v>39211.49</v>
      </c>
      <c r="L361" s="3">
        <v>45775.41</v>
      </c>
      <c r="M361" s="3">
        <v>44068.44</v>
      </c>
      <c r="N361" s="8">
        <v>43381.51</v>
      </c>
      <c r="O361" s="3">
        <v>39989.027499999997</v>
      </c>
      <c r="P361" s="8">
        <v>45459.282500000001</v>
      </c>
      <c r="Q361" s="28">
        <f t="shared" si="5"/>
        <v>427241.54999999993</v>
      </c>
    </row>
    <row r="362" spans="1:17" ht="15" customHeight="1" x14ac:dyDescent="0.2">
      <c r="A362" s="1">
        <v>496</v>
      </c>
      <c r="B362" s="7" t="s">
        <v>61</v>
      </c>
      <c r="C362" s="7" t="s">
        <v>64</v>
      </c>
      <c r="D362" s="26" t="s">
        <v>7</v>
      </c>
      <c r="E362" s="2"/>
      <c r="F362" s="2" t="s">
        <v>7</v>
      </c>
      <c r="G362" s="3">
        <v>403790</v>
      </c>
      <c r="H362" s="3">
        <v>447021</v>
      </c>
      <c r="I362" s="3">
        <v>403232</v>
      </c>
      <c r="J362" s="3">
        <v>446624</v>
      </c>
      <c r="K362" s="3">
        <v>402654</v>
      </c>
      <c r="L362" s="3">
        <v>446191</v>
      </c>
      <c r="M362" s="3">
        <v>401983</v>
      </c>
      <c r="N362" s="8">
        <v>445646</v>
      </c>
      <c r="O362" s="3">
        <v>402914.75</v>
      </c>
      <c r="P362" s="8">
        <v>446370.5</v>
      </c>
      <c r="Q362" s="28">
        <f t="shared" si="5"/>
        <v>4246426.25</v>
      </c>
    </row>
    <row r="363" spans="1:17" ht="15" customHeight="1" x14ac:dyDescent="0.2">
      <c r="A363" s="1">
        <v>498</v>
      </c>
      <c r="B363" s="7" t="s">
        <v>61</v>
      </c>
      <c r="C363" s="7" t="s">
        <v>64</v>
      </c>
      <c r="D363" s="5"/>
      <c r="E363" s="2" t="s">
        <v>8</v>
      </c>
      <c r="F363" s="2" t="s">
        <v>8</v>
      </c>
      <c r="G363" s="3">
        <v>7403.83</v>
      </c>
      <c r="H363" s="3">
        <v>2868.4</v>
      </c>
      <c r="I363" s="3">
        <v>8025.85</v>
      </c>
      <c r="J363" s="3">
        <v>3886.98</v>
      </c>
      <c r="K363" s="3">
        <v>5630.55</v>
      </c>
      <c r="L363" s="3">
        <v>1280.42</v>
      </c>
      <c r="M363" s="3">
        <v>2982.89</v>
      </c>
      <c r="N363" s="8">
        <v>2435.85</v>
      </c>
      <c r="O363" s="3">
        <v>6010.78</v>
      </c>
      <c r="P363" s="8">
        <v>2617.9124999999999</v>
      </c>
      <c r="Q363" s="28">
        <f t="shared" si="5"/>
        <v>43143.462499999994</v>
      </c>
    </row>
    <row r="364" spans="1:17" ht="15" customHeight="1" x14ac:dyDescent="0.2">
      <c r="A364" s="1">
        <v>500</v>
      </c>
      <c r="B364" s="7" t="s">
        <v>61</v>
      </c>
      <c r="C364" s="7" t="s">
        <v>64</v>
      </c>
      <c r="D364" s="5"/>
      <c r="E364" s="7"/>
      <c r="F364" s="2" t="s">
        <v>9</v>
      </c>
      <c r="G364" s="3">
        <v>237144.89</v>
      </c>
      <c r="H364" s="3">
        <v>213232.96</v>
      </c>
      <c r="I364" s="3">
        <v>250314.99</v>
      </c>
      <c r="J364" s="3">
        <v>219902.35</v>
      </c>
      <c r="K364" s="3">
        <v>270846.3</v>
      </c>
      <c r="L364" s="3">
        <v>235639.02</v>
      </c>
      <c r="M364" s="3">
        <v>281891.94</v>
      </c>
      <c r="N364" s="8">
        <v>237701.08</v>
      </c>
      <c r="O364" s="3">
        <v>260049.52999999997</v>
      </c>
      <c r="P364" s="8">
        <v>226618.85249999998</v>
      </c>
      <c r="Q364" s="28">
        <f t="shared" si="5"/>
        <v>2433341.9125000001</v>
      </c>
    </row>
    <row r="365" spans="1:17" ht="15" customHeight="1" x14ac:dyDescent="0.2">
      <c r="A365" s="1">
        <v>501</v>
      </c>
      <c r="B365" s="7" t="s">
        <v>61</v>
      </c>
      <c r="C365" s="6" t="s">
        <v>64</v>
      </c>
      <c r="D365" s="7"/>
      <c r="E365" s="7"/>
      <c r="F365" s="2" t="s">
        <v>10</v>
      </c>
      <c r="G365" s="3">
        <v>1538.21</v>
      </c>
      <c r="H365" s="3">
        <v>6322.73</v>
      </c>
      <c r="I365" s="3">
        <v>1361.3</v>
      </c>
      <c r="J365" s="3">
        <v>6304.82</v>
      </c>
      <c r="K365" s="3">
        <v>2787.93</v>
      </c>
      <c r="L365" s="3">
        <v>2809.56</v>
      </c>
      <c r="M365" s="3">
        <v>261.27999999999997</v>
      </c>
      <c r="N365" s="8">
        <v>985.64</v>
      </c>
      <c r="O365" s="3">
        <v>1487.18</v>
      </c>
      <c r="P365" s="8">
        <v>4105.6875</v>
      </c>
      <c r="Q365" s="28">
        <f t="shared" si="5"/>
        <v>27964.337499999998</v>
      </c>
    </row>
    <row r="366" spans="1:17" ht="15" customHeight="1" x14ac:dyDescent="0.2">
      <c r="A366" s="1">
        <v>503</v>
      </c>
      <c r="B366" s="7" t="s">
        <v>61</v>
      </c>
      <c r="C366" s="6" t="s">
        <v>64</v>
      </c>
      <c r="D366" s="7"/>
      <c r="E366" s="2" t="s">
        <v>11</v>
      </c>
      <c r="F366" s="2" t="s">
        <v>11</v>
      </c>
      <c r="G366" s="3">
        <v>12480.55</v>
      </c>
      <c r="H366" s="3">
        <v>99740.34</v>
      </c>
      <c r="I366" s="3">
        <v>3393.22</v>
      </c>
      <c r="J366" s="3">
        <v>101785.21</v>
      </c>
      <c r="K366" s="3">
        <v>4329.59</v>
      </c>
      <c r="L366" s="3">
        <v>82648.11</v>
      </c>
      <c r="M366" s="3">
        <v>3421.7</v>
      </c>
      <c r="N366" s="8">
        <v>79396.820000000007</v>
      </c>
      <c r="O366" s="3">
        <v>5906.2650000000003</v>
      </c>
      <c r="P366" s="8">
        <v>90892.62</v>
      </c>
      <c r="Q366" s="28">
        <f t="shared" si="5"/>
        <v>483994.42500000005</v>
      </c>
    </row>
    <row r="367" spans="1:17" ht="15" customHeight="1" x14ac:dyDescent="0.2">
      <c r="A367" s="1">
        <v>504</v>
      </c>
      <c r="B367" s="7" t="s">
        <v>61</v>
      </c>
      <c r="C367" s="6" t="s">
        <v>64</v>
      </c>
      <c r="D367" s="5"/>
      <c r="E367" s="2" t="s">
        <v>12</v>
      </c>
      <c r="F367" s="2" t="s">
        <v>12</v>
      </c>
      <c r="G367" s="3">
        <v>47213.42</v>
      </c>
      <c r="H367" s="3">
        <v>13522.3</v>
      </c>
      <c r="I367" s="3">
        <v>49037.99</v>
      </c>
      <c r="J367" s="3">
        <v>11517.48</v>
      </c>
      <c r="K367" s="3">
        <v>43550.95</v>
      </c>
      <c r="L367" s="3">
        <v>14476.45</v>
      </c>
      <c r="M367" s="3">
        <v>30295.37</v>
      </c>
      <c r="N367" s="8">
        <v>15297.4</v>
      </c>
      <c r="O367" s="3">
        <v>42524.432499999995</v>
      </c>
      <c r="P367" s="8">
        <v>13703.407499999999</v>
      </c>
      <c r="Q367" s="28">
        <f t="shared" si="5"/>
        <v>281139.19999999995</v>
      </c>
    </row>
    <row r="368" spans="1:17" ht="15" customHeight="1" x14ac:dyDescent="0.2">
      <c r="A368" s="1">
        <v>505</v>
      </c>
      <c r="B368" s="7" t="s">
        <v>61</v>
      </c>
      <c r="C368" s="6" t="s">
        <v>64</v>
      </c>
      <c r="D368" s="5"/>
      <c r="E368" s="2" t="s">
        <v>13</v>
      </c>
      <c r="F368" s="2" t="s">
        <v>13</v>
      </c>
      <c r="G368" s="3">
        <v>58110.17</v>
      </c>
      <c r="H368" s="3">
        <v>74899.03</v>
      </c>
      <c r="I368" s="3">
        <v>54146.86</v>
      </c>
      <c r="J368" s="3">
        <v>72015.19</v>
      </c>
      <c r="K368" s="3">
        <v>43286.22</v>
      </c>
      <c r="L368" s="3">
        <v>79166.17</v>
      </c>
      <c r="M368" s="3">
        <v>43876.87</v>
      </c>
      <c r="N368" s="8">
        <v>74652.009999999995</v>
      </c>
      <c r="O368" s="3">
        <v>49855.03</v>
      </c>
      <c r="P368" s="8">
        <v>75183.100000000006</v>
      </c>
      <c r="Q368" s="28">
        <f t="shared" si="5"/>
        <v>625190.64999999991</v>
      </c>
    </row>
    <row r="369" spans="1:17" ht="15" customHeight="1" x14ac:dyDescent="0.2">
      <c r="A369" s="1">
        <v>506</v>
      </c>
      <c r="B369" s="7" t="s">
        <v>61</v>
      </c>
      <c r="C369" s="6" t="s">
        <v>64</v>
      </c>
      <c r="D369" s="5"/>
      <c r="E369" s="26" t="s">
        <v>14</v>
      </c>
      <c r="F369" s="2" t="s">
        <v>14</v>
      </c>
      <c r="G369" s="3">
        <v>39898.94</v>
      </c>
      <c r="H369" s="3">
        <v>36435.24</v>
      </c>
      <c r="I369" s="3">
        <v>36951.79</v>
      </c>
      <c r="J369" s="3">
        <v>31211.97</v>
      </c>
      <c r="K369" s="3">
        <v>32222.45</v>
      </c>
      <c r="L369" s="3">
        <v>30171.27</v>
      </c>
      <c r="M369" s="3">
        <v>39252.959999999999</v>
      </c>
      <c r="N369" s="8">
        <v>35177.199999999997</v>
      </c>
      <c r="O369" s="3">
        <v>37081.535000000003</v>
      </c>
      <c r="P369" s="8">
        <v>33248.92</v>
      </c>
      <c r="Q369" s="28">
        <f t="shared" si="5"/>
        <v>351652.27499999997</v>
      </c>
    </row>
    <row r="370" spans="1:17" ht="15" customHeight="1" x14ac:dyDescent="0.2">
      <c r="A370" s="1">
        <v>507</v>
      </c>
      <c r="B370" s="7" t="s">
        <v>61</v>
      </c>
      <c r="C370" s="6" t="s">
        <v>65</v>
      </c>
      <c r="D370" s="26" t="s">
        <v>7</v>
      </c>
      <c r="E370" s="26"/>
      <c r="F370" s="2" t="s">
        <v>7</v>
      </c>
      <c r="G370" s="3">
        <v>360834</v>
      </c>
      <c r="H370" s="3">
        <v>399514</v>
      </c>
      <c r="I370" s="3">
        <v>360018</v>
      </c>
      <c r="J370" s="3">
        <v>398797</v>
      </c>
      <c r="K370" s="3">
        <v>359182</v>
      </c>
      <c r="L370" s="3">
        <v>398065</v>
      </c>
      <c r="M370" s="3">
        <v>358285</v>
      </c>
      <c r="N370" s="8">
        <v>397243</v>
      </c>
      <c r="O370" s="3">
        <v>359579.75</v>
      </c>
      <c r="P370" s="8">
        <v>398404.75</v>
      </c>
      <c r="Q370" s="28">
        <f t="shared" si="5"/>
        <v>3789922.5</v>
      </c>
    </row>
    <row r="371" spans="1:17" ht="15" customHeight="1" x14ac:dyDescent="0.2">
      <c r="A371" s="1">
        <v>509</v>
      </c>
      <c r="B371" s="7" t="s">
        <v>61</v>
      </c>
      <c r="C371" s="6" t="s">
        <v>65</v>
      </c>
      <c r="D371" s="7"/>
      <c r="E371" s="2" t="s">
        <v>8</v>
      </c>
      <c r="F371" s="2" t="s">
        <v>8</v>
      </c>
      <c r="G371" s="3">
        <v>6481.12</v>
      </c>
      <c r="H371" s="3">
        <v>533.78</v>
      </c>
      <c r="I371" s="3">
        <v>0</v>
      </c>
      <c r="J371" s="3">
        <v>1512.39</v>
      </c>
      <c r="K371" s="3">
        <v>0</v>
      </c>
      <c r="L371" s="3">
        <v>0</v>
      </c>
      <c r="M371" s="3">
        <v>768.04</v>
      </c>
      <c r="N371" s="8">
        <v>423.42</v>
      </c>
      <c r="O371" s="3">
        <v>1812.29</v>
      </c>
      <c r="P371" s="8">
        <v>617.39750000000004</v>
      </c>
      <c r="Q371" s="28">
        <f t="shared" si="5"/>
        <v>12148.437499999996</v>
      </c>
    </row>
    <row r="372" spans="1:17" ht="15" customHeight="1" x14ac:dyDescent="0.2">
      <c r="A372" s="1">
        <v>511</v>
      </c>
      <c r="B372" s="7" t="s">
        <v>61</v>
      </c>
      <c r="C372" s="6" t="s">
        <v>65</v>
      </c>
      <c r="D372" s="5"/>
      <c r="E372" s="7"/>
      <c r="F372" s="2" t="s">
        <v>9</v>
      </c>
      <c r="G372" s="3">
        <v>280166.84999999998</v>
      </c>
      <c r="H372" s="3">
        <v>244957.75</v>
      </c>
      <c r="I372" s="3">
        <v>301727.26</v>
      </c>
      <c r="J372" s="3">
        <v>271237.59000000003</v>
      </c>
      <c r="K372" s="3">
        <v>292764.94</v>
      </c>
      <c r="L372" s="3">
        <v>265666.44</v>
      </c>
      <c r="M372" s="3">
        <v>286040.03000000003</v>
      </c>
      <c r="N372" s="8">
        <v>258689.93</v>
      </c>
      <c r="O372" s="3">
        <v>290174.77</v>
      </c>
      <c r="P372" s="8">
        <v>260137.92749999999</v>
      </c>
      <c r="Q372" s="28">
        <f t="shared" si="5"/>
        <v>2751563.4874999998</v>
      </c>
    </row>
    <row r="373" spans="1:17" ht="15" customHeight="1" x14ac:dyDescent="0.2">
      <c r="A373" s="1">
        <v>512</v>
      </c>
      <c r="B373" s="7" t="s">
        <v>61</v>
      </c>
      <c r="C373" s="6" t="s">
        <v>65</v>
      </c>
      <c r="D373" s="5"/>
      <c r="E373" s="7"/>
      <c r="F373" s="2" t="s">
        <v>10</v>
      </c>
      <c r="G373" s="3">
        <v>2212.73</v>
      </c>
      <c r="H373" s="3">
        <v>200.33</v>
      </c>
      <c r="I373" s="3">
        <v>938.2</v>
      </c>
      <c r="J373" s="3">
        <v>3871.47</v>
      </c>
      <c r="K373" s="3">
        <v>88.65</v>
      </c>
      <c r="L373" s="3">
        <v>1980.84</v>
      </c>
      <c r="M373" s="3">
        <v>206.64</v>
      </c>
      <c r="N373" s="8">
        <v>671.13</v>
      </c>
      <c r="O373" s="3">
        <v>861.55500000000006</v>
      </c>
      <c r="P373" s="8">
        <v>1680.9424999999999</v>
      </c>
      <c r="Q373" s="28">
        <f t="shared" si="5"/>
        <v>12712.487499999997</v>
      </c>
    </row>
    <row r="374" spans="1:17" ht="15" customHeight="1" x14ac:dyDescent="0.2">
      <c r="A374" s="1">
        <v>514</v>
      </c>
      <c r="B374" s="7" t="s">
        <v>61</v>
      </c>
      <c r="C374" s="6" t="s">
        <v>65</v>
      </c>
      <c r="D374" s="5"/>
      <c r="E374" s="2" t="s">
        <v>11</v>
      </c>
      <c r="F374" s="2" t="s">
        <v>11</v>
      </c>
      <c r="G374" s="3">
        <v>7136.63</v>
      </c>
      <c r="H374" s="3">
        <v>58734.3</v>
      </c>
      <c r="I374" s="3">
        <v>1606.55</v>
      </c>
      <c r="J374" s="3">
        <v>47198.32</v>
      </c>
      <c r="K374" s="3">
        <v>2660.61</v>
      </c>
      <c r="L374" s="3">
        <v>43486.81</v>
      </c>
      <c r="M374" s="3">
        <v>839.73</v>
      </c>
      <c r="N374" s="8">
        <v>40431.81</v>
      </c>
      <c r="O374" s="3">
        <v>3060.88</v>
      </c>
      <c r="P374" s="8">
        <v>47462.81</v>
      </c>
      <c r="Q374" s="28">
        <f t="shared" si="5"/>
        <v>252618.45000000004</v>
      </c>
    </row>
    <row r="375" spans="1:17" ht="15" customHeight="1" x14ac:dyDescent="0.2">
      <c r="A375" s="1">
        <v>515</v>
      </c>
      <c r="B375" s="7" t="s">
        <v>61</v>
      </c>
      <c r="C375" s="6" t="s">
        <v>65</v>
      </c>
      <c r="D375" s="5"/>
      <c r="E375" s="2" t="s">
        <v>12</v>
      </c>
      <c r="F375" s="2" t="s">
        <v>12</v>
      </c>
      <c r="G375" s="3">
        <v>4115.03</v>
      </c>
      <c r="H375" s="3">
        <v>2178.79</v>
      </c>
      <c r="I375" s="3">
        <v>2577.77</v>
      </c>
      <c r="J375" s="3">
        <v>2964.58</v>
      </c>
      <c r="K375" s="3">
        <v>4424.49</v>
      </c>
      <c r="L375" s="3">
        <v>3596.95</v>
      </c>
      <c r="M375" s="3">
        <v>3521.43</v>
      </c>
      <c r="N375" s="8">
        <v>3750.17</v>
      </c>
      <c r="O375" s="3">
        <v>3659.68</v>
      </c>
      <c r="P375" s="8">
        <v>3122.6224999999999</v>
      </c>
      <c r="Q375" s="28">
        <f t="shared" si="5"/>
        <v>33911.512499999997</v>
      </c>
    </row>
    <row r="376" spans="1:17" ht="15" customHeight="1" x14ac:dyDescent="0.2">
      <c r="A376" s="1">
        <v>516</v>
      </c>
      <c r="B376" s="7" t="s">
        <v>61</v>
      </c>
      <c r="C376" s="7" t="s">
        <v>65</v>
      </c>
      <c r="D376" s="7"/>
      <c r="E376" s="2" t="s">
        <v>13</v>
      </c>
      <c r="F376" s="2" t="s">
        <v>13</v>
      </c>
      <c r="G376" s="3">
        <v>26440.09</v>
      </c>
      <c r="H376" s="3">
        <v>53690.51</v>
      </c>
      <c r="I376" s="3">
        <v>20348.349999999999</v>
      </c>
      <c r="J376" s="3">
        <v>40502.32</v>
      </c>
      <c r="K376" s="3">
        <v>25936.6</v>
      </c>
      <c r="L376" s="3">
        <v>50677.51</v>
      </c>
      <c r="M376" s="3">
        <v>32895.599999999999</v>
      </c>
      <c r="N376" s="8">
        <v>55430.31</v>
      </c>
      <c r="O376" s="3">
        <v>26405.160000000003</v>
      </c>
      <c r="P376" s="8">
        <v>50075.162499999999</v>
      </c>
      <c r="Q376" s="28">
        <f t="shared" si="5"/>
        <v>382401.61250000005</v>
      </c>
    </row>
    <row r="377" spans="1:17" ht="15" customHeight="1" x14ac:dyDescent="0.2">
      <c r="A377" s="1">
        <v>517</v>
      </c>
      <c r="B377" s="7" t="s">
        <v>61</v>
      </c>
      <c r="C377" s="7" t="s">
        <v>65</v>
      </c>
      <c r="D377" s="7"/>
      <c r="E377" s="2" t="s">
        <v>14</v>
      </c>
      <c r="F377" s="2" t="s">
        <v>14</v>
      </c>
      <c r="G377" s="3">
        <v>34281.550000000003</v>
      </c>
      <c r="H377" s="3">
        <v>39218.550000000003</v>
      </c>
      <c r="I377" s="3">
        <v>32819.879999999997</v>
      </c>
      <c r="J377" s="3">
        <v>31510.33</v>
      </c>
      <c r="K377" s="3">
        <v>33306.71</v>
      </c>
      <c r="L377" s="3">
        <v>32656.44</v>
      </c>
      <c r="M377" s="3">
        <v>34013.519999999997</v>
      </c>
      <c r="N377" s="8">
        <v>37846.22</v>
      </c>
      <c r="O377" s="3">
        <v>33605.414999999994</v>
      </c>
      <c r="P377" s="8">
        <v>35307.885000000002</v>
      </c>
      <c r="Q377" s="28">
        <f t="shared" si="5"/>
        <v>344566.49999999994</v>
      </c>
    </row>
    <row r="378" spans="1:17" ht="15" customHeight="1" x14ac:dyDescent="0.2">
      <c r="A378" s="1">
        <v>518</v>
      </c>
      <c r="B378" s="7" t="s">
        <v>61</v>
      </c>
      <c r="C378" s="7" t="s">
        <v>66</v>
      </c>
      <c r="D378" s="26" t="s">
        <v>7</v>
      </c>
      <c r="E378" s="2"/>
      <c r="F378" s="2" t="s">
        <v>7</v>
      </c>
      <c r="G378" s="3">
        <v>673261</v>
      </c>
      <c r="H378" s="3">
        <v>745938</v>
      </c>
      <c r="I378" s="3">
        <v>673445</v>
      </c>
      <c r="J378" s="3">
        <v>746501</v>
      </c>
      <c r="K378" s="3">
        <v>673581</v>
      </c>
      <c r="L378" s="3">
        <v>746997</v>
      </c>
      <c r="M378" s="3">
        <v>673552</v>
      </c>
      <c r="N378" s="8">
        <v>747299</v>
      </c>
      <c r="O378" s="3">
        <v>673459.75</v>
      </c>
      <c r="P378" s="8">
        <v>746683.75</v>
      </c>
      <c r="Q378" s="28">
        <f t="shared" si="5"/>
        <v>7100717.5</v>
      </c>
    </row>
    <row r="379" spans="1:17" ht="15" customHeight="1" x14ac:dyDescent="0.2">
      <c r="A379" s="1">
        <v>520</v>
      </c>
      <c r="B379" s="7" t="s">
        <v>61</v>
      </c>
      <c r="C379" s="7" t="s">
        <v>66</v>
      </c>
      <c r="D379" s="5"/>
      <c r="E379" s="2" t="s">
        <v>8</v>
      </c>
      <c r="F379" s="2" t="s">
        <v>8</v>
      </c>
      <c r="G379" s="3">
        <v>0</v>
      </c>
      <c r="H379" s="3">
        <v>0</v>
      </c>
      <c r="I379" s="3">
        <v>1929.5</v>
      </c>
      <c r="J379" s="3">
        <v>601.6</v>
      </c>
      <c r="K379" s="3">
        <v>0</v>
      </c>
      <c r="L379" s="3">
        <v>0</v>
      </c>
      <c r="M379" s="3">
        <v>0</v>
      </c>
      <c r="N379" s="8">
        <v>0</v>
      </c>
      <c r="O379" s="3">
        <v>482.375</v>
      </c>
      <c r="P379" s="8">
        <v>150.4</v>
      </c>
      <c r="Q379" s="28">
        <f t="shared" si="5"/>
        <v>3163.875</v>
      </c>
    </row>
    <row r="380" spans="1:17" ht="15" customHeight="1" x14ac:dyDescent="0.2">
      <c r="A380" s="1">
        <v>522</v>
      </c>
      <c r="B380" s="7" t="s">
        <v>61</v>
      </c>
      <c r="C380" s="7" t="s">
        <v>66</v>
      </c>
      <c r="D380" s="5"/>
      <c r="E380" s="5"/>
      <c r="F380" s="2" t="s">
        <v>9</v>
      </c>
      <c r="G380" s="3">
        <v>479378.57</v>
      </c>
      <c r="H380" s="3">
        <v>368122.57</v>
      </c>
      <c r="I380" s="3">
        <v>480696.48</v>
      </c>
      <c r="J380" s="3">
        <v>362897.16</v>
      </c>
      <c r="K380" s="3">
        <v>507610.94</v>
      </c>
      <c r="L380" s="3">
        <v>392723.28</v>
      </c>
      <c r="M380" s="3">
        <v>497607.04</v>
      </c>
      <c r="N380" s="8">
        <v>374783.85</v>
      </c>
      <c r="O380" s="3">
        <v>491323.25750000001</v>
      </c>
      <c r="P380" s="8">
        <v>374631.71499999997</v>
      </c>
      <c r="Q380" s="28">
        <f t="shared" si="5"/>
        <v>4329774.8624999998</v>
      </c>
    </row>
    <row r="381" spans="1:17" ht="15" customHeight="1" x14ac:dyDescent="0.2">
      <c r="A381" s="1">
        <v>523</v>
      </c>
      <c r="B381" s="7" t="s">
        <v>61</v>
      </c>
      <c r="C381" s="7" t="s">
        <v>66</v>
      </c>
      <c r="D381" s="5"/>
      <c r="E381" s="5"/>
      <c r="F381" s="2" t="s">
        <v>10</v>
      </c>
      <c r="G381" s="3">
        <v>1838.6</v>
      </c>
      <c r="H381" s="3">
        <v>0</v>
      </c>
      <c r="I381" s="3">
        <v>278.66000000000003</v>
      </c>
      <c r="J381" s="3">
        <v>2373.3200000000002</v>
      </c>
      <c r="K381" s="3">
        <v>0</v>
      </c>
      <c r="L381" s="3">
        <v>0</v>
      </c>
      <c r="M381" s="3">
        <v>0</v>
      </c>
      <c r="N381" s="8">
        <v>0</v>
      </c>
      <c r="O381" s="3">
        <v>529.31499999999994</v>
      </c>
      <c r="P381" s="8">
        <v>593.33000000000004</v>
      </c>
      <c r="Q381" s="28">
        <f t="shared" si="5"/>
        <v>5613.2249999999995</v>
      </c>
    </row>
    <row r="382" spans="1:17" ht="15" customHeight="1" x14ac:dyDescent="0.2">
      <c r="A382" s="1">
        <v>525</v>
      </c>
      <c r="B382" s="7" t="s">
        <v>61</v>
      </c>
      <c r="C382" s="7" t="s">
        <v>66</v>
      </c>
      <c r="D382" s="7"/>
      <c r="E382" s="2" t="s">
        <v>11</v>
      </c>
      <c r="F382" s="2" t="s">
        <v>11</v>
      </c>
      <c r="G382" s="3">
        <v>0</v>
      </c>
      <c r="H382" s="3">
        <v>156001.06</v>
      </c>
      <c r="I382" s="3">
        <v>0</v>
      </c>
      <c r="J382" s="3">
        <v>151393.39000000001</v>
      </c>
      <c r="K382" s="3">
        <v>256.77</v>
      </c>
      <c r="L382" s="3">
        <v>135278.26999999999</v>
      </c>
      <c r="M382" s="3">
        <v>0</v>
      </c>
      <c r="N382" s="8">
        <v>163920.22</v>
      </c>
      <c r="O382" s="3">
        <v>64.192499999999995</v>
      </c>
      <c r="P382" s="8">
        <v>151648.23499999999</v>
      </c>
      <c r="Q382" s="28">
        <f t="shared" si="5"/>
        <v>758562.13749999995</v>
      </c>
    </row>
    <row r="383" spans="1:17" ht="15" customHeight="1" x14ac:dyDescent="0.2">
      <c r="A383" s="1">
        <v>526</v>
      </c>
      <c r="B383" s="7" t="s">
        <v>61</v>
      </c>
      <c r="C383" s="7" t="s">
        <v>66</v>
      </c>
      <c r="D383" s="5"/>
      <c r="E383" s="2" t="s">
        <v>12</v>
      </c>
      <c r="F383" s="2" t="s">
        <v>12</v>
      </c>
      <c r="G383" s="3">
        <v>30103.43</v>
      </c>
      <c r="H383" s="3">
        <v>14722.32</v>
      </c>
      <c r="I383" s="3">
        <v>23909.51</v>
      </c>
      <c r="J383" s="3">
        <v>12276.5</v>
      </c>
      <c r="K383" s="3">
        <v>18978.02</v>
      </c>
      <c r="L383" s="3">
        <v>10838.25</v>
      </c>
      <c r="M383" s="3">
        <v>22417.200000000001</v>
      </c>
      <c r="N383" s="8">
        <v>11421.78</v>
      </c>
      <c r="O383" s="3">
        <v>23852.04</v>
      </c>
      <c r="P383" s="8">
        <v>12314.7125</v>
      </c>
      <c r="Q383" s="28">
        <f t="shared" si="5"/>
        <v>180833.76250000001</v>
      </c>
    </row>
    <row r="384" spans="1:17" ht="15" customHeight="1" x14ac:dyDescent="0.2">
      <c r="A384" s="1">
        <v>527</v>
      </c>
      <c r="B384" s="7" t="s">
        <v>61</v>
      </c>
      <c r="C384" s="7" t="s">
        <v>66</v>
      </c>
      <c r="D384" s="5"/>
      <c r="E384" s="2" t="s">
        <v>13</v>
      </c>
      <c r="F384" s="2" t="s">
        <v>13</v>
      </c>
      <c r="G384" s="3">
        <v>93191.66</v>
      </c>
      <c r="H384" s="3">
        <v>139898.17000000001</v>
      </c>
      <c r="I384" s="3">
        <v>98014.11</v>
      </c>
      <c r="J384" s="3">
        <v>145203.10999999999</v>
      </c>
      <c r="K384" s="3">
        <v>87687.360000000001</v>
      </c>
      <c r="L384" s="3">
        <v>134321.60999999999</v>
      </c>
      <c r="M384" s="3">
        <v>92570.11</v>
      </c>
      <c r="N384" s="8">
        <v>127010.16</v>
      </c>
      <c r="O384" s="3">
        <v>92865.81</v>
      </c>
      <c r="P384" s="8">
        <v>136608.26250000001</v>
      </c>
      <c r="Q384" s="28">
        <f t="shared" si="5"/>
        <v>1147370.3625</v>
      </c>
    </row>
    <row r="385" spans="1:17" ht="15" customHeight="1" x14ac:dyDescent="0.2">
      <c r="A385" s="1">
        <v>528</v>
      </c>
      <c r="B385" s="7" t="s">
        <v>61</v>
      </c>
      <c r="C385" s="7" t="s">
        <v>66</v>
      </c>
      <c r="D385" s="5"/>
      <c r="E385" s="2" t="s">
        <v>14</v>
      </c>
      <c r="F385" s="2" t="s">
        <v>14</v>
      </c>
      <c r="G385" s="3">
        <v>68748.740000000005</v>
      </c>
      <c r="H385" s="3">
        <v>67193.86</v>
      </c>
      <c r="I385" s="3">
        <v>68616.73</v>
      </c>
      <c r="J385" s="3">
        <v>71755.91</v>
      </c>
      <c r="K385" s="3">
        <v>59047.91</v>
      </c>
      <c r="L385" s="3">
        <v>73835.59</v>
      </c>
      <c r="M385" s="3">
        <v>60957.64</v>
      </c>
      <c r="N385" s="8">
        <v>70162.990000000005</v>
      </c>
      <c r="O385" s="3">
        <v>64342.755000000005</v>
      </c>
      <c r="P385" s="8">
        <v>70737.087500000009</v>
      </c>
      <c r="Q385" s="28">
        <f t="shared" si="5"/>
        <v>675399.21250000002</v>
      </c>
    </row>
    <row r="386" spans="1:17" ht="15" customHeight="1" x14ac:dyDescent="0.2">
      <c r="A386" s="1">
        <v>529</v>
      </c>
      <c r="B386" s="7" t="s">
        <v>61</v>
      </c>
      <c r="C386" s="7" t="s">
        <v>67</v>
      </c>
      <c r="D386" s="26" t="s">
        <v>7</v>
      </c>
      <c r="E386" s="2"/>
      <c r="F386" s="2" t="s">
        <v>7</v>
      </c>
      <c r="G386" s="3">
        <v>173584</v>
      </c>
      <c r="H386" s="3">
        <v>192193</v>
      </c>
      <c r="I386" s="3">
        <v>173336</v>
      </c>
      <c r="J386" s="3">
        <v>192007</v>
      </c>
      <c r="K386" s="3">
        <v>173068</v>
      </c>
      <c r="L386" s="3">
        <v>191810</v>
      </c>
      <c r="M386" s="3">
        <v>172771</v>
      </c>
      <c r="N386" s="8">
        <v>191565</v>
      </c>
      <c r="O386" s="3">
        <v>173189.75</v>
      </c>
      <c r="P386" s="8">
        <v>191893.75</v>
      </c>
      <c r="Q386" s="28">
        <f t="shared" si="5"/>
        <v>1825417.5</v>
      </c>
    </row>
    <row r="387" spans="1:17" ht="15" customHeight="1" x14ac:dyDescent="0.2">
      <c r="A387" s="1">
        <v>531</v>
      </c>
      <c r="B387" s="7" t="s">
        <v>61</v>
      </c>
      <c r="C387" s="7" t="s">
        <v>67</v>
      </c>
      <c r="D387" s="7"/>
      <c r="E387" s="2" t="s">
        <v>8</v>
      </c>
      <c r="F387" s="2" t="s">
        <v>8</v>
      </c>
      <c r="G387" s="3">
        <v>859.15</v>
      </c>
      <c r="H387" s="3">
        <v>3159.84</v>
      </c>
      <c r="I387" s="3">
        <v>877.82</v>
      </c>
      <c r="J387" s="3">
        <v>889.88</v>
      </c>
      <c r="K387" s="3">
        <v>0</v>
      </c>
      <c r="L387" s="3">
        <v>0</v>
      </c>
      <c r="M387" s="3">
        <v>207.03</v>
      </c>
      <c r="N387" s="8">
        <v>1452.03</v>
      </c>
      <c r="O387" s="3">
        <v>486</v>
      </c>
      <c r="P387" s="8">
        <v>1375.4375</v>
      </c>
      <c r="Q387" s="28">
        <f t="shared" ref="Q387:Q450" si="6">SUM(G387:P387)</f>
        <v>9307.1875</v>
      </c>
    </row>
    <row r="388" spans="1:17" ht="15" customHeight="1" x14ac:dyDescent="0.2">
      <c r="A388" s="1">
        <v>533</v>
      </c>
      <c r="B388" s="7" t="s">
        <v>61</v>
      </c>
      <c r="C388" s="7" t="s">
        <v>67</v>
      </c>
      <c r="D388" s="7"/>
      <c r="E388" s="7"/>
      <c r="F388" s="2" t="s">
        <v>9</v>
      </c>
      <c r="G388" s="3">
        <v>132038.6</v>
      </c>
      <c r="H388" s="3">
        <v>126856.43</v>
      </c>
      <c r="I388" s="3">
        <v>133877.57999999999</v>
      </c>
      <c r="J388" s="3">
        <v>132640.35</v>
      </c>
      <c r="K388" s="3">
        <v>137688.23000000001</v>
      </c>
      <c r="L388" s="3">
        <v>142053.60999999999</v>
      </c>
      <c r="M388" s="3">
        <v>137070.12</v>
      </c>
      <c r="N388" s="8">
        <v>134743.18</v>
      </c>
      <c r="O388" s="3">
        <v>135168.63250000001</v>
      </c>
      <c r="P388" s="8">
        <v>134073.39250000002</v>
      </c>
      <c r="Q388" s="28">
        <f t="shared" si="6"/>
        <v>1346210.125</v>
      </c>
    </row>
    <row r="389" spans="1:17" ht="15" customHeight="1" x14ac:dyDescent="0.2">
      <c r="A389" s="1">
        <v>534</v>
      </c>
      <c r="B389" s="7" t="s">
        <v>61</v>
      </c>
      <c r="C389" s="7" t="s">
        <v>67</v>
      </c>
      <c r="D389" s="5"/>
      <c r="E389" s="7"/>
      <c r="F389" s="2" t="s">
        <v>10</v>
      </c>
      <c r="G389" s="3">
        <v>1035.23</v>
      </c>
      <c r="H389" s="3">
        <v>1850.39</v>
      </c>
      <c r="I389" s="3">
        <v>0</v>
      </c>
      <c r="J389" s="3">
        <v>545.53</v>
      </c>
      <c r="K389" s="3">
        <v>369.67</v>
      </c>
      <c r="L389" s="3">
        <v>63.8</v>
      </c>
      <c r="M389" s="3">
        <v>1484.91</v>
      </c>
      <c r="N389" s="8">
        <v>1706.43</v>
      </c>
      <c r="O389" s="3">
        <v>722.4525000000001</v>
      </c>
      <c r="P389" s="8">
        <v>1041.5375000000001</v>
      </c>
      <c r="Q389" s="28">
        <f t="shared" si="6"/>
        <v>8819.9500000000007</v>
      </c>
    </row>
    <row r="390" spans="1:17" ht="15" customHeight="1" x14ac:dyDescent="0.2">
      <c r="A390" s="1">
        <v>536</v>
      </c>
      <c r="B390" s="7" t="s">
        <v>61</v>
      </c>
      <c r="C390" s="7" t="s">
        <v>67</v>
      </c>
      <c r="D390" s="5"/>
      <c r="E390" s="2" t="s">
        <v>11</v>
      </c>
      <c r="F390" s="2" t="s">
        <v>11</v>
      </c>
      <c r="G390" s="3">
        <v>98.38</v>
      </c>
      <c r="H390" s="3">
        <v>9354.4</v>
      </c>
      <c r="I390" s="3">
        <v>1548.5</v>
      </c>
      <c r="J390" s="3">
        <v>9808.98</v>
      </c>
      <c r="K390" s="3">
        <v>662.88</v>
      </c>
      <c r="L390" s="3">
        <v>5237.43</v>
      </c>
      <c r="M390" s="3">
        <v>706.46</v>
      </c>
      <c r="N390" s="8">
        <v>8181.85</v>
      </c>
      <c r="O390" s="3">
        <v>754.05500000000006</v>
      </c>
      <c r="P390" s="8">
        <v>8145.6649999999991</v>
      </c>
      <c r="Q390" s="28">
        <f t="shared" si="6"/>
        <v>44498.6</v>
      </c>
    </row>
    <row r="391" spans="1:17" ht="15" customHeight="1" x14ac:dyDescent="0.2">
      <c r="A391" s="1">
        <v>537</v>
      </c>
      <c r="B391" s="7" t="s">
        <v>61</v>
      </c>
      <c r="C391" s="7" t="s">
        <v>67</v>
      </c>
      <c r="D391" s="5"/>
      <c r="E391" s="26" t="s">
        <v>12</v>
      </c>
      <c r="F391" s="2" t="s">
        <v>12</v>
      </c>
      <c r="G391" s="3">
        <v>5879.34</v>
      </c>
      <c r="H391" s="3">
        <v>3613.09</v>
      </c>
      <c r="I391" s="3">
        <v>3200.74</v>
      </c>
      <c r="J391" s="3">
        <v>3284.16</v>
      </c>
      <c r="K391" s="3">
        <v>2349.39</v>
      </c>
      <c r="L391" s="3">
        <v>1198.6400000000001</v>
      </c>
      <c r="M391" s="3">
        <v>3102</v>
      </c>
      <c r="N391" s="8">
        <v>3464.27</v>
      </c>
      <c r="O391" s="3">
        <v>3632.8674999999998</v>
      </c>
      <c r="P391" s="8">
        <v>2890.04</v>
      </c>
      <c r="Q391" s="28">
        <f t="shared" si="6"/>
        <v>32614.537500000002</v>
      </c>
    </row>
    <row r="392" spans="1:17" ht="15" customHeight="1" x14ac:dyDescent="0.2">
      <c r="A392" s="1">
        <v>538</v>
      </c>
      <c r="B392" s="7" t="s">
        <v>61</v>
      </c>
      <c r="C392" s="7" t="s">
        <v>67</v>
      </c>
      <c r="D392" s="5"/>
      <c r="E392" s="26" t="s">
        <v>13</v>
      </c>
      <c r="F392" s="2" t="s">
        <v>13</v>
      </c>
      <c r="G392" s="3">
        <v>17109.97</v>
      </c>
      <c r="H392" s="3">
        <v>30803.57</v>
      </c>
      <c r="I392" s="3">
        <v>16003.71</v>
      </c>
      <c r="J392" s="3">
        <v>29697.51</v>
      </c>
      <c r="K392" s="3">
        <v>17592.400000000001</v>
      </c>
      <c r="L392" s="3">
        <v>28768.19</v>
      </c>
      <c r="M392" s="3">
        <v>15831.56</v>
      </c>
      <c r="N392" s="8">
        <v>26630.16</v>
      </c>
      <c r="O392" s="3">
        <v>16634.41</v>
      </c>
      <c r="P392" s="8">
        <v>28974.857500000002</v>
      </c>
      <c r="Q392" s="28">
        <f t="shared" si="6"/>
        <v>228046.33750000002</v>
      </c>
    </row>
    <row r="393" spans="1:17" ht="15" customHeight="1" x14ac:dyDescent="0.2">
      <c r="A393" s="1">
        <v>539</v>
      </c>
      <c r="B393" s="7" t="s">
        <v>61</v>
      </c>
      <c r="C393" s="7" t="s">
        <v>67</v>
      </c>
      <c r="D393" s="7"/>
      <c r="E393" s="2" t="s">
        <v>14</v>
      </c>
      <c r="F393" s="2" t="s">
        <v>14</v>
      </c>
      <c r="G393" s="3">
        <v>16563.32</v>
      </c>
      <c r="H393" s="3">
        <v>16555.28</v>
      </c>
      <c r="I393" s="3">
        <v>17827.64</v>
      </c>
      <c r="J393" s="3">
        <v>15140.59</v>
      </c>
      <c r="K393" s="3">
        <v>14405.43</v>
      </c>
      <c r="L393" s="3">
        <v>14488.34</v>
      </c>
      <c r="M393" s="3">
        <v>14368.93</v>
      </c>
      <c r="N393" s="8">
        <v>15387.08</v>
      </c>
      <c r="O393" s="3">
        <v>15791.33</v>
      </c>
      <c r="P393" s="8">
        <v>15392.8225</v>
      </c>
      <c r="Q393" s="28">
        <f t="shared" si="6"/>
        <v>155920.76250000001</v>
      </c>
    </row>
    <row r="394" spans="1:17" ht="15" customHeight="1" x14ac:dyDescent="0.2">
      <c r="A394" s="1">
        <v>540</v>
      </c>
      <c r="B394" s="7" t="s">
        <v>61</v>
      </c>
      <c r="C394" s="7" t="s">
        <v>68</v>
      </c>
      <c r="D394" s="26" t="s">
        <v>7</v>
      </c>
      <c r="E394" s="2"/>
      <c r="F394" s="2" t="s">
        <v>7</v>
      </c>
      <c r="G394" s="3">
        <v>357538</v>
      </c>
      <c r="H394" s="3">
        <v>395864</v>
      </c>
      <c r="I394" s="3">
        <v>357266</v>
      </c>
      <c r="J394" s="3">
        <v>395748</v>
      </c>
      <c r="K394" s="3">
        <v>356965</v>
      </c>
      <c r="L394" s="3">
        <v>395602.99</v>
      </c>
      <c r="M394" s="3">
        <v>356586</v>
      </c>
      <c r="N394" s="8">
        <v>395364</v>
      </c>
      <c r="O394" s="3">
        <v>357088.75</v>
      </c>
      <c r="P394" s="8">
        <v>395644.7475</v>
      </c>
      <c r="Q394" s="28">
        <f t="shared" si="6"/>
        <v>3763667.4875000003</v>
      </c>
    </row>
    <row r="395" spans="1:17" ht="15" customHeight="1" x14ac:dyDescent="0.2">
      <c r="A395" s="1">
        <v>542</v>
      </c>
      <c r="B395" s="7" t="s">
        <v>61</v>
      </c>
      <c r="C395" s="7" t="s">
        <v>68</v>
      </c>
      <c r="D395" s="5"/>
      <c r="E395" s="2" t="s">
        <v>8</v>
      </c>
      <c r="F395" s="2" t="s">
        <v>8</v>
      </c>
      <c r="G395" s="3">
        <v>14932.22</v>
      </c>
      <c r="H395" s="3">
        <v>13292.68</v>
      </c>
      <c r="I395" s="3">
        <v>8726.91</v>
      </c>
      <c r="J395" s="3">
        <v>5126.8500000000004</v>
      </c>
      <c r="K395" s="3">
        <v>0</v>
      </c>
      <c r="L395" s="3">
        <v>0</v>
      </c>
      <c r="M395" s="3">
        <v>2126.9</v>
      </c>
      <c r="N395" s="8">
        <v>1384.72</v>
      </c>
      <c r="O395" s="3">
        <v>6446.5074999999997</v>
      </c>
      <c r="P395" s="8">
        <v>4951.0625</v>
      </c>
      <c r="Q395" s="28">
        <f t="shared" si="6"/>
        <v>56987.85</v>
      </c>
    </row>
    <row r="396" spans="1:17" ht="15" customHeight="1" x14ac:dyDescent="0.2">
      <c r="A396" s="1">
        <v>544</v>
      </c>
      <c r="B396" s="7" t="s">
        <v>61</v>
      </c>
      <c r="C396" s="7" t="s">
        <v>68</v>
      </c>
      <c r="D396" s="5"/>
      <c r="E396" s="7"/>
      <c r="F396" s="2" t="s">
        <v>9</v>
      </c>
      <c r="G396" s="3">
        <v>245893.22</v>
      </c>
      <c r="H396" s="3">
        <v>207207.42</v>
      </c>
      <c r="I396" s="3">
        <v>255931.07</v>
      </c>
      <c r="J396" s="3">
        <v>219807.89</v>
      </c>
      <c r="K396" s="3">
        <v>257443.61</v>
      </c>
      <c r="L396" s="3">
        <v>230394.75</v>
      </c>
      <c r="M396" s="3">
        <v>264175.32</v>
      </c>
      <c r="N396" s="8">
        <v>239042.63</v>
      </c>
      <c r="O396" s="3">
        <v>255860.80499999999</v>
      </c>
      <c r="P396" s="8">
        <v>224113.17250000002</v>
      </c>
      <c r="Q396" s="28">
        <f t="shared" si="6"/>
        <v>2399869.8875000002</v>
      </c>
    </row>
    <row r="397" spans="1:17" ht="15" customHeight="1" x14ac:dyDescent="0.2">
      <c r="A397" s="1">
        <v>545</v>
      </c>
      <c r="B397" s="7" t="s">
        <v>61</v>
      </c>
      <c r="C397" s="7" t="s">
        <v>68</v>
      </c>
      <c r="D397" s="5"/>
      <c r="E397" s="7"/>
      <c r="F397" s="2" t="s">
        <v>10</v>
      </c>
      <c r="G397" s="3">
        <v>1436.02</v>
      </c>
      <c r="H397" s="3">
        <v>3470.65</v>
      </c>
      <c r="I397" s="3">
        <v>791.78</v>
      </c>
      <c r="J397" s="3">
        <v>6671.33</v>
      </c>
      <c r="K397" s="3">
        <v>449.99</v>
      </c>
      <c r="L397" s="3">
        <v>3202.62</v>
      </c>
      <c r="M397" s="3">
        <v>209.25</v>
      </c>
      <c r="N397" s="8">
        <v>229.77</v>
      </c>
      <c r="O397" s="3">
        <v>721.76</v>
      </c>
      <c r="P397" s="8">
        <v>3393.5924999999997</v>
      </c>
      <c r="Q397" s="28">
        <f t="shared" si="6"/>
        <v>20576.762499999997</v>
      </c>
    </row>
    <row r="398" spans="1:17" ht="15" customHeight="1" x14ac:dyDescent="0.2">
      <c r="A398" s="1">
        <v>547</v>
      </c>
      <c r="B398" s="7" t="s">
        <v>61</v>
      </c>
      <c r="C398" s="7" t="s">
        <v>68</v>
      </c>
      <c r="D398" s="7"/>
      <c r="E398" s="2" t="s">
        <v>11</v>
      </c>
      <c r="F398" s="2" t="s">
        <v>11</v>
      </c>
      <c r="G398" s="3">
        <v>2973.82</v>
      </c>
      <c r="H398" s="3">
        <v>79712.42</v>
      </c>
      <c r="I398" s="3">
        <v>5745.75</v>
      </c>
      <c r="J398" s="3">
        <v>62951.78</v>
      </c>
      <c r="K398" s="3">
        <v>3823</v>
      </c>
      <c r="L398" s="3">
        <v>59648.1</v>
      </c>
      <c r="M398" s="3">
        <v>2992.81</v>
      </c>
      <c r="N398" s="8">
        <v>58495.06</v>
      </c>
      <c r="O398" s="3">
        <v>3883.8449999999998</v>
      </c>
      <c r="P398" s="8">
        <v>65201.840000000004</v>
      </c>
      <c r="Q398" s="28">
        <f t="shared" si="6"/>
        <v>345428.42499999999</v>
      </c>
    </row>
    <row r="399" spans="1:17" ht="15" customHeight="1" x14ac:dyDescent="0.2">
      <c r="A399" s="1">
        <v>548</v>
      </c>
      <c r="B399" s="7" t="s">
        <v>61</v>
      </c>
      <c r="C399" s="7" t="s">
        <v>68</v>
      </c>
      <c r="D399" s="7"/>
      <c r="E399" s="2" t="s">
        <v>12</v>
      </c>
      <c r="F399" s="2" t="s">
        <v>12</v>
      </c>
      <c r="G399" s="3">
        <v>18971.669999999998</v>
      </c>
      <c r="H399" s="3">
        <v>4644</v>
      </c>
      <c r="I399" s="3">
        <v>16493.88</v>
      </c>
      <c r="J399" s="3">
        <v>11702.64</v>
      </c>
      <c r="K399" s="3">
        <v>21210.080000000002</v>
      </c>
      <c r="L399" s="3">
        <v>11034.68</v>
      </c>
      <c r="M399" s="3">
        <v>13299.91</v>
      </c>
      <c r="N399" s="8">
        <v>10465.11</v>
      </c>
      <c r="O399" s="3">
        <v>17493.885000000002</v>
      </c>
      <c r="P399" s="8">
        <v>9461.6075000000001</v>
      </c>
      <c r="Q399" s="28">
        <f t="shared" si="6"/>
        <v>134777.46250000002</v>
      </c>
    </row>
    <row r="400" spans="1:17" ht="15" customHeight="1" x14ac:dyDescent="0.2">
      <c r="A400" s="1">
        <v>549</v>
      </c>
      <c r="B400" s="7" t="s">
        <v>61</v>
      </c>
      <c r="C400" s="7" t="s">
        <v>68</v>
      </c>
      <c r="D400" s="5"/>
      <c r="E400" s="2" t="s">
        <v>13</v>
      </c>
      <c r="F400" s="2" t="s">
        <v>13</v>
      </c>
      <c r="G400" s="3">
        <v>44656.89</v>
      </c>
      <c r="H400" s="3">
        <v>56674.51</v>
      </c>
      <c r="I400" s="3">
        <v>39253.120000000003</v>
      </c>
      <c r="J400" s="3">
        <v>56786.87</v>
      </c>
      <c r="K400" s="3">
        <v>44432.78</v>
      </c>
      <c r="L400" s="3">
        <v>56890.61</v>
      </c>
      <c r="M400" s="3">
        <v>42167.66</v>
      </c>
      <c r="N400" s="8">
        <v>54453.279999999999</v>
      </c>
      <c r="O400" s="3">
        <v>42627.612500000003</v>
      </c>
      <c r="P400" s="8">
        <v>56201.317499999997</v>
      </c>
      <c r="Q400" s="28">
        <f t="shared" si="6"/>
        <v>494144.64999999997</v>
      </c>
    </row>
    <row r="401" spans="1:17" ht="15" customHeight="1" x14ac:dyDescent="0.2">
      <c r="A401" s="1">
        <v>550</v>
      </c>
      <c r="B401" s="7" t="s">
        <v>61</v>
      </c>
      <c r="C401" s="7" t="s">
        <v>68</v>
      </c>
      <c r="D401" s="5"/>
      <c r="E401" s="2" t="s">
        <v>14</v>
      </c>
      <c r="F401" s="2" t="s">
        <v>14</v>
      </c>
      <c r="G401" s="3">
        <v>28674.16</v>
      </c>
      <c r="H401" s="3">
        <v>30862.32</v>
      </c>
      <c r="I401" s="3">
        <v>30323.5</v>
      </c>
      <c r="J401" s="3">
        <v>32700.639999999999</v>
      </c>
      <c r="K401" s="3">
        <v>29605.54</v>
      </c>
      <c r="L401" s="3">
        <v>34432.230000000003</v>
      </c>
      <c r="M401" s="3">
        <v>31614.14</v>
      </c>
      <c r="N401" s="8">
        <v>31293.42</v>
      </c>
      <c r="O401" s="3">
        <v>30054.335000000003</v>
      </c>
      <c r="P401" s="8">
        <v>32322.1525</v>
      </c>
      <c r="Q401" s="28">
        <f t="shared" si="6"/>
        <v>311882.43750000006</v>
      </c>
    </row>
    <row r="402" spans="1:17" ht="15" customHeight="1" x14ac:dyDescent="0.2">
      <c r="A402" s="1">
        <v>551</v>
      </c>
      <c r="B402" s="7" t="s">
        <v>61</v>
      </c>
      <c r="C402" s="7" t="s">
        <v>69</v>
      </c>
      <c r="D402" s="26" t="s">
        <v>7</v>
      </c>
      <c r="E402" s="26"/>
      <c r="F402" s="2" t="s">
        <v>7</v>
      </c>
      <c r="G402" s="3">
        <v>109663</v>
      </c>
      <c r="H402" s="3">
        <v>120944</v>
      </c>
      <c r="I402" s="3">
        <v>109689</v>
      </c>
      <c r="J402" s="3">
        <v>121041.01</v>
      </c>
      <c r="K402" s="3">
        <v>109717</v>
      </c>
      <c r="L402" s="3">
        <v>121121</v>
      </c>
      <c r="M402" s="3">
        <v>109709</v>
      </c>
      <c r="N402" s="8">
        <v>121171</v>
      </c>
      <c r="O402" s="3">
        <v>109694.5</v>
      </c>
      <c r="P402" s="8">
        <v>121069.2525</v>
      </c>
      <c r="Q402" s="28">
        <f t="shared" si="6"/>
        <v>1153818.7625</v>
      </c>
    </row>
    <row r="403" spans="1:17" ht="15" customHeight="1" x14ac:dyDescent="0.2">
      <c r="A403" s="1">
        <v>553</v>
      </c>
      <c r="B403" s="7" t="s">
        <v>61</v>
      </c>
      <c r="C403" s="7" t="s">
        <v>69</v>
      </c>
      <c r="D403" s="5"/>
      <c r="E403" s="26" t="s">
        <v>8</v>
      </c>
      <c r="F403" s="2" t="s">
        <v>8</v>
      </c>
      <c r="G403" s="3">
        <v>3995.73</v>
      </c>
      <c r="H403" s="3">
        <v>2641.59</v>
      </c>
      <c r="I403" s="3">
        <v>3385.01</v>
      </c>
      <c r="J403" s="3">
        <v>1339.51</v>
      </c>
      <c r="K403" s="3">
        <v>0</v>
      </c>
      <c r="L403" s="3">
        <v>0</v>
      </c>
      <c r="M403" s="3">
        <v>973.89</v>
      </c>
      <c r="N403" s="8">
        <v>870.22</v>
      </c>
      <c r="O403" s="3">
        <v>2088.6574999999998</v>
      </c>
      <c r="P403" s="8">
        <v>1212.8300000000002</v>
      </c>
      <c r="Q403" s="28">
        <f t="shared" si="6"/>
        <v>16507.4375</v>
      </c>
    </row>
    <row r="404" spans="1:17" ht="15" customHeight="1" x14ac:dyDescent="0.2">
      <c r="A404" s="1">
        <v>555</v>
      </c>
      <c r="B404" s="7" t="s">
        <v>61</v>
      </c>
      <c r="C404" s="7" t="s">
        <v>69</v>
      </c>
      <c r="D404" s="7"/>
      <c r="E404" s="7"/>
      <c r="F404" s="2" t="s">
        <v>9</v>
      </c>
      <c r="G404" s="3">
        <v>74672.42</v>
      </c>
      <c r="H404" s="3">
        <v>59211.59</v>
      </c>
      <c r="I404" s="3">
        <v>74977.34</v>
      </c>
      <c r="J404" s="3">
        <v>62008.98</v>
      </c>
      <c r="K404" s="3">
        <v>80367.14</v>
      </c>
      <c r="L404" s="3">
        <v>70104.06</v>
      </c>
      <c r="M404" s="3">
        <v>80066.03</v>
      </c>
      <c r="N404" s="8">
        <v>66453.67</v>
      </c>
      <c r="O404" s="3">
        <v>77520.732500000013</v>
      </c>
      <c r="P404" s="8">
        <v>64444.574999999997</v>
      </c>
      <c r="Q404" s="28">
        <f t="shared" si="6"/>
        <v>709826.53750000009</v>
      </c>
    </row>
    <row r="405" spans="1:17" ht="15" customHeight="1" x14ac:dyDescent="0.2">
      <c r="A405" s="1">
        <v>556</v>
      </c>
      <c r="B405" s="7" t="s">
        <v>61</v>
      </c>
      <c r="C405" s="7" t="s">
        <v>69</v>
      </c>
      <c r="D405" s="5"/>
      <c r="E405" s="7"/>
      <c r="F405" s="2" t="s">
        <v>10</v>
      </c>
      <c r="G405" s="3">
        <v>685.07</v>
      </c>
      <c r="H405" s="3">
        <v>1278.3</v>
      </c>
      <c r="I405" s="3">
        <v>1012.23</v>
      </c>
      <c r="J405" s="3">
        <v>1220.47</v>
      </c>
      <c r="K405" s="3">
        <v>524.30999999999995</v>
      </c>
      <c r="L405" s="3">
        <v>564.39</v>
      </c>
      <c r="M405" s="3">
        <v>378.62</v>
      </c>
      <c r="N405" s="8">
        <v>221.72</v>
      </c>
      <c r="O405" s="3">
        <v>650.0575</v>
      </c>
      <c r="P405" s="8">
        <v>821.21999999999991</v>
      </c>
      <c r="Q405" s="28">
        <f t="shared" si="6"/>
        <v>7356.3874999999998</v>
      </c>
    </row>
    <row r="406" spans="1:17" ht="15" customHeight="1" x14ac:dyDescent="0.2">
      <c r="A406" s="1">
        <v>558</v>
      </c>
      <c r="B406" s="7" t="s">
        <v>61</v>
      </c>
      <c r="C406" s="7" t="s">
        <v>69</v>
      </c>
      <c r="D406" s="5"/>
      <c r="E406" s="2" t="s">
        <v>11</v>
      </c>
      <c r="F406" s="2" t="s">
        <v>11</v>
      </c>
      <c r="G406" s="3">
        <v>1070.49</v>
      </c>
      <c r="H406" s="3">
        <v>28456.75</v>
      </c>
      <c r="I406" s="3">
        <v>1194.8499999999999</v>
      </c>
      <c r="J406" s="3">
        <v>26976.71</v>
      </c>
      <c r="K406" s="3">
        <v>862.5</v>
      </c>
      <c r="L406" s="3">
        <v>21627.65</v>
      </c>
      <c r="M406" s="3">
        <v>1047.82</v>
      </c>
      <c r="N406" s="8">
        <v>25694.22</v>
      </c>
      <c r="O406" s="3">
        <v>1043.915</v>
      </c>
      <c r="P406" s="8">
        <v>25688.8325</v>
      </c>
      <c r="Q406" s="28">
        <f t="shared" si="6"/>
        <v>133663.73750000002</v>
      </c>
    </row>
    <row r="407" spans="1:17" ht="15" customHeight="1" x14ac:dyDescent="0.2">
      <c r="A407" s="1">
        <v>559</v>
      </c>
      <c r="B407" s="7" t="s">
        <v>61</v>
      </c>
      <c r="C407" s="7" t="s">
        <v>69</v>
      </c>
      <c r="D407" s="5"/>
      <c r="E407" s="2" t="s">
        <v>12</v>
      </c>
      <c r="F407" s="2" t="s">
        <v>12</v>
      </c>
      <c r="G407" s="3">
        <v>5280.49</v>
      </c>
      <c r="H407" s="3">
        <v>1748.77</v>
      </c>
      <c r="I407" s="3">
        <v>5609.58</v>
      </c>
      <c r="J407" s="3">
        <v>1963.56</v>
      </c>
      <c r="K407" s="3">
        <v>4026.83</v>
      </c>
      <c r="L407" s="3">
        <v>1424.87</v>
      </c>
      <c r="M407" s="3">
        <v>6924.65</v>
      </c>
      <c r="N407" s="8">
        <v>1867.83</v>
      </c>
      <c r="O407" s="3">
        <v>5460.3874999999998</v>
      </c>
      <c r="P407" s="8">
        <v>1751.2574999999999</v>
      </c>
      <c r="Q407" s="28">
        <f t="shared" si="6"/>
        <v>36058.224999999999</v>
      </c>
    </row>
    <row r="408" spans="1:17" ht="15" customHeight="1" x14ac:dyDescent="0.2">
      <c r="A408" s="1">
        <v>560</v>
      </c>
      <c r="B408" s="7" t="s">
        <v>61</v>
      </c>
      <c r="C408" s="7" t="s">
        <v>69</v>
      </c>
      <c r="D408" s="5"/>
      <c r="E408" s="2" t="s">
        <v>13</v>
      </c>
      <c r="F408" s="2" t="s">
        <v>13</v>
      </c>
      <c r="G408" s="3">
        <v>12534.92</v>
      </c>
      <c r="H408" s="3">
        <v>16962.990000000002</v>
      </c>
      <c r="I408" s="3">
        <v>14194.24</v>
      </c>
      <c r="J408" s="3">
        <v>16999.330000000002</v>
      </c>
      <c r="K408" s="3">
        <v>12673.29</v>
      </c>
      <c r="L408" s="3">
        <v>17025.28</v>
      </c>
      <c r="M408" s="3">
        <v>11469.54</v>
      </c>
      <c r="N408" s="8">
        <v>15884.32</v>
      </c>
      <c r="O408" s="3">
        <v>12717.997499999999</v>
      </c>
      <c r="P408" s="8">
        <v>16717.980000000003</v>
      </c>
      <c r="Q408" s="28">
        <f t="shared" si="6"/>
        <v>147179.88750000001</v>
      </c>
    </row>
    <row r="409" spans="1:17" ht="15" customHeight="1" x14ac:dyDescent="0.2">
      <c r="A409" s="1">
        <v>561</v>
      </c>
      <c r="B409" s="7" t="s">
        <v>61</v>
      </c>
      <c r="C409" s="7" t="s">
        <v>69</v>
      </c>
      <c r="D409" s="7"/>
      <c r="E409" s="2" t="s">
        <v>14</v>
      </c>
      <c r="F409" s="2" t="s">
        <v>14</v>
      </c>
      <c r="G409" s="3">
        <v>11423.88</v>
      </c>
      <c r="H409" s="3">
        <v>10644.01</v>
      </c>
      <c r="I409" s="3">
        <v>9315.74</v>
      </c>
      <c r="J409" s="3">
        <v>10532.44</v>
      </c>
      <c r="K409" s="3">
        <v>11262.94</v>
      </c>
      <c r="L409" s="3">
        <v>10374.76</v>
      </c>
      <c r="M409" s="3">
        <v>8848.4699999999993</v>
      </c>
      <c r="N409" s="8">
        <v>10179.02</v>
      </c>
      <c r="O409" s="3">
        <v>10212.7575</v>
      </c>
      <c r="P409" s="8">
        <v>10432.557499999999</v>
      </c>
      <c r="Q409" s="28">
        <f t="shared" si="6"/>
        <v>103226.57500000001</v>
      </c>
    </row>
    <row r="410" spans="1:17" ht="15" customHeight="1" x14ac:dyDescent="0.2">
      <c r="A410" s="1">
        <v>562</v>
      </c>
      <c r="B410" s="7" t="s">
        <v>61</v>
      </c>
      <c r="C410" s="7" t="s">
        <v>70</v>
      </c>
      <c r="D410" s="2" t="s">
        <v>7</v>
      </c>
      <c r="E410" s="2"/>
      <c r="F410" s="2" t="s">
        <v>7</v>
      </c>
      <c r="G410" s="3">
        <v>140101</v>
      </c>
      <c r="H410" s="3">
        <v>152296</v>
      </c>
      <c r="I410" s="3">
        <v>140094</v>
      </c>
      <c r="J410" s="3">
        <v>152360</v>
      </c>
      <c r="K410" s="3">
        <v>140082</v>
      </c>
      <c r="L410" s="3">
        <v>152423</v>
      </c>
      <c r="M410" s="3">
        <v>140039</v>
      </c>
      <c r="N410" s="8">
        <v>152437</v>
      </c>
      <c r="O410" s="3">
        <v>140079</v>
      </c>
      <c r="P410" s="8">
        <v>152379</v>
      </c>
      <c r="Q410" s="28">
        <f t="shared" si="6"/>
        <v>1462290</v>
      </c>
    </row>
    <row r="411" spans="1:17" ht="15" customHeight="1" x14ac:dyDescent="0.2">
      <c r="A411" s="1">
        <v>564</v>
      </c>
      <c r="B411" s="7" t="s">
        <v>61</v>
      </c>
      <c r="C411" s="7" t="s">
        <v>70</v>
      </c>
      <c r="D411" s="5"/>
      <c r="E411" s="2" t="s">
        <v>8</v>
      </c>
      <c r="F411" s="2" t="s">
        <v>8</v>
      </c>
      <c r="G411" s="3">
        <v>1277.45</v>
      </c>
      <c r="H411" s="3">
        <v>1617.48</v>
      </c>
      <c r="I411" s="3">
        <v>492.1</v>
      </c>
      <c r="J411" s="3">
        <v>1355.13</v>
      </c>
      <c r="K411" s="3">
        <v>1184.1300000000001</v>
      </c>
      <c r="L411" s="3">
        <v>1543.89</v>
      </c>
      <c r="M411" s="3">
        <v>371.97</v>
      </c>
      <c r="N411" s="8">
        <v>207.53</v>
      </c>
      <c r="O411" s="3">
        <v>831.41250000000014</v>
      </c>
      <c r="P411" s="8">
        <v>1181.0074999999999</v>
      </c>
      <c r="Q411" s="28">
        <f t="shared" si="6"/>
        <v>10062.1</v>
      </c>
    </row>
    <row r="412" spans="1:17" ht="15" customHeight="1" x14ac:dyDescent="0.2">
      <c r="A412" s="1">
        <v>566</v>
      </c>
      <c r="B412" s="7" t="s">
        <v>61</v>
      </c>
      <c r="C412" s="7" t="s">
        <v>70</v>
      </c>
      <c r="D412" s="5"/>
      <c r="E412" s="7"/>
      <c r="F412" s="2" t="s">
        <v>9</v>
      </c>
      <c r="G412" s="3">
        <v>100112.98</v>
      </c>
      <c r="H412" s="3">
        <v>89516.71</v>
      </c>
      <c r="I412" s="3">
        <v>98316.21</v>
      </c>
      <c r="J412" s="3">
        <v>83690.52</v>
      </c>
      <c r="K412" s="3">
        <v>97597.32</v>
      </c>
      <c r="L412" s="3">
        <v>80389.929999999993</v>
      </c>
      <c r="M412" s="3">
        <v>103894.53</v>
      </c>
      <c r="N412" s="8">
        <v>92893.17</v>
      </c>
      <c r="O412" s="3">
        <v>99980.260000000009</v>
      </c>
      <c r="P412" s="8">
        <v>86622.582500000004</v>
      </c>
      <c r="Q412" s="28">
        <f t="shared" si="6"/>
        <v>933014.21250000014</v>
      </c>
    </row>
    <row r="413" spans="1:17" ht="15" customHeight="1" x14ac:dyDescent="0.2">
      <c r="A413" s="1">
        <v>567</v>
      </c>
      <c r="B413" s="7" t="s">
        <v>61</v>
      </c>
      <c r="C413" s="7" t="s">
        <v>70</v>
      </c>
      <c r="D413" s="5"/>
      <c r="E413" s="5"/>
      <c r="F413" s="2" t="s">
        <v>10</v>
      </c>
      <c r="G413" s="3">
        <v>649.63</v>
      </c>
      <c r="H413" s="3">
        <v>197.65</v>
      </c>
      <c r="I413" s="3">
        <v>509.82</v>
      </c>
      <c r="J413" s="3">
        <v>1161.19</v>
      </c>
      <c r="K413" s="3">
        <v>938.54</v>
      </c>
      <c r="L413" s="3">
        <v>815.53</v>
      </c>
      <c r="M413" s="3">
        <v>0</v>
      </c>
      <c r="N413" s="8">
        <v>250.71</v>
      </c>
      <c r="O413" s="3">
        <v>524.49749999999995</v>
      </c>
      <c r="P413" s="8">
        <v>606.27</v>
      </c>
      <c r="Q413" s="28">
        <f t="shared" si="6"/>
        <v>5653.8374999999996</v>
      </c>
    </row>
    <row r="414" spans="1:17" ht="15" customHeight="1" x14ac:dyDescent="0.2">
      <c r="A414" s="1">
        <v>569</v>
      </c>
      <c r="B414" s="7" t="s">
        <v>61</v>
      </c>
      <c r="C414" s="7" t="s">
        <v>70</v>
      </c>
      <c r="D414" s="5"/>
      <c r="E414" s="26" t="s">
        <v>11</v>
      </c>
      <c r="F414" s="2" t="s">
        <v>11</v>
      </c>
      <c r="G414" s="3">
        <v>1018.2</v>
      </c>
      <c r="H414" s="3">
        <v>16686.2</v>
      </c>
      <c r="I414" s="3">
        <v>2283.7800000000002</v>
      </c>
      <c r="J414" s="3">
        <v>18380.66</v>
      </c>
      <c r="K414" s="3">
        <v>2179.56</v>
      </c>
      <c r="L414" s="3">
        <v>18954.09</v>
      </c>
      <c r="M414" s="3">
        <v>1098.51</v>
      </c>
      <c r="N414" s="8">
        <v>10455.24</v>
      </c>
      <c r="O414" s="3">
        <v>1645.0125000000003</v>
      </c>
      <c r="P414" s="8">
        <v>16119.047499999999</v>
      </c>
      <c r="Q414" s="28">
        <f t="shared" si="6"/>
        <v>88820.299999999988</v>
      </c>
    </row>
    <row r="415" spans="1:17" ht="15" customHeight="1" x14ac:dyDescent="0.2">
      <c r="A415" s="1">
        <v>570</v>
      </c>
      <c r="B415" s="7" t="s">
        <v>61</v>
      </c>
      <c r="C415" s="7" t="s">
        <v>70</v>
      </c>
      <c r="D415" s="7"/>
      <c r="E415" s="2" t="s">
        <v>12</v>
      </c>
      <c r="F415" s="2" t="s">
        <v>12</v>
      </c>
      <c r="G415" s="3">
        <v>4308.2700000000004</v>
      </c>
      <c r="H415" s="3">
        <v>1869.48</v>
      </c>
      <c r="I415" s="3">
        <v>4392.99</v>
      </c>
      <c r="J415" s="3">
        <v>2952.54</v>
      </c>
      <c r="K415" s="3">
        <v>3903.31</v>
      </c>
      <c r="L415" s="3">
        <v>1077.73</v>
      </c>
      <c r="M415" s="3">
        <v>3781.25</v>
      </c>
      <c r="N415" s="8">
        <v>1111.0999999999999</v>
      </c>
      <c r="O415" s="3">
        <v>4096.4549999999999</v>
      </c>
      <c r="P415" s="8">
        <v>1752.7125000000001</v>
      </c>
      <c r="Q415" s="28">
        <f t="shared" si="6"/>
        <v>29245.837500000001</v>
      </c>
    </row>
    <row r="416" spans="1:17" ht="15" customHeight="1" x14ac:dyDescent="0.2">
      <c r="A416" s="1">
        <v>571</v>
      </c>
      <c r="B416" s="7" t="s">
        <v>61</v>
      </c>
      <c r="C416" s="7" t="s">
        <v>70</v>
      </c>
      <c r="D416" s="5"/>
      <c r="E416" s="2" t="s">
        <v>13</v>
      </c>
      <c r="F416" s="2" t="s">
        <v>13</v>
      </c>
      <c r="G416" s="3">
        <v>20160.560000000001</v>
      </c>
      <c r="H416" s="3">
        <v>30285.27</v>
      </c>
      <c r="I416" s="3">
        <v>18955.41</v>
      </c>
      <c r="J416" s="3">
        <v>30573.34</v>
      </c>
      <c r="K416" s="3">
        <v>20570</v>
      </c>
      <c r="L416" s="3">
        <v>32858.870000000003</v>
      </c>
      <c r="M416" s="3">
        <v>18453.96</v>
      </c>
      <c r="N416" s="8">
        <v>31748.91</v>
      </c>
      <c r="O416" s="3">
        <v>19534.982499999998</v>
      </c>
      <c r="P416" s="8">
        <v>31366.597500000003</v>
      </c>
      <c r="Q416" s="28">
        <f t="shared" si="6"/>
        <v>254507.9</v>
      </c>
    </row>
    <row r="417" spans="1:17" ht="15" customHeight="1" x14ac:dyDescent="0.2">
      <c r="A417" s="1">
        <v>572</v>
      </c>
      <c r="B417" s="7" t="s">
        <v>61</v>
      </c>
      <c r="C417" s="7" t="s">
        <v>70</v>
      </c>
      <c r="D417" s="5"/>
      <c r="E417" s="2" t="s">
        <v>14</v>
      </c>
      <c r="F417" s="2" t="s">
        <v>14</v>
      </c>
      <c r="G417" s="3">
        <v>12573.91</v>
      </c>
      <c r="H417" s="3">
        <v>12123.21</v>
      </c>
      <c r="I417" s="3">
        <v>15143.68</v>
      </c>
      <c r="J417" s="3">
        <v>14246.62</v>
      </c>
      <c r="K417" s="3">
        <v>13709.14</v>
      </c>
      <c r="L417" s="3">
        <v>16782.96</v>
      </c>
      <c r="M417" s="3">
        <v>12438.79</v>
      </c>
      <c r="N417" s="8">
        <v>15770.35</v>
      </c>
      <c r="O417" s="3">
        <v>13466.38</v>
      </c>
      <c r="P417" s="8">
        <v>14730.785</v>
      </c>
      <c r="Q417" s="28">
        <f t="shared" si="6"/>
        <v>140985.82500000001</v>
      </c>
    </row>
    <row r="418" spans="1:17" ht="15" customHeight="1" x14ac:dyDescent="0.2">
      <c r="A418" s="1">
        <v>573</v>
      </c>
      <c r="B418" s="7" t="s">
        <v>61</v>
      </c>
      <c r="C418" s="7" t="s">
        <v>71</v>
      </c>
      <c r="D418" s="26" t="s">
        <v>7</v>
      </c>
      <c r="E418" s="2"/>
      <c r="F418" s="2" t="s">
        <v>7</v>
      </c>
      <c r="G418" s="3">
        <v>182506</v>
      </c>
      <c r="H418" s="3">
        <v>202904</v>
      </c>
      <c r="I418" s="3">
        <v>182440</v>
      </c>
      <c r="J418" s="3">
        <v>202925</v>
      </c>
      <c r="K418" s="3">
        <v>182362</v>
      </c>
      <c r="L418" s="3">
        <v>202932</v>
      </c>
      <c r="M418" s="3">
        <v>182240</v>
      </c>
      <c r="N418" s="8">
        <v>202894</v>
      </c>
      <c r="O418" s="3">
        <v>182387</v>
      </c>
      <c r="P418" s="8">
        <v>202913.75</v>
      </c>
      <c r="Q418" s="28">
        <f t="shared" si="6"/>
        <v>1926503.75</v>
      </c>
    </row>
    <row r="419" spans="1:17" ht="15" customHeight="1" x14ac:dyDescent="0.2">
      <c r="A419" s="1">
        <v>575</v>
      </c>
      <c r="B419" s="7" t="s">
        <v>61</v>
      </c>
      <c r="C419" s="7" t="s">
        <v>71</v>
      </c>
      <c r="D419" s="5"/>
      <c r="E419" s="2" t="s">
        <v>8</v>
      </c>
      <c r="F419" s="2" t="s">
        <v>8</v>
      </c>
      <c r="G419" s="3">
        <v>1666.75</v>
      </c>
      <c r="H419" s="3">
        <v>5742.14</v>
      </c>
      <c r="I419" s="3">
        <v>637.23</v>
      </c>
      <c r="J419" s="3">
        <v>2207.46</v>
      </c>
      <c r="K419" s="3">
        <v>147.49</v>
      </c>
      <c r="L419" s="3">
        <v>0</v>
      </c>
      <c r="M419" s="3">
        <v>251.99</v>
      </c>
      <c r="N419" s="8">
        <v>133.04</v>
      </c>
      <c r="O419" s="3">
        <v>675.86500000000001</v>
      </c>
      <c r="P419" s="8">
        <v>2020.66</v>
      </c>
      <c r="Q419" s="28">
        <f t="shared" si="6"/>
        <v>13482.625000000002</v>
      </c>
    </row>
    <row r="420" spans="1:17" ht="15" customHeight="1" x14ac:dyDescent="0.2">
      <c r="A420" s="1">
        <v>577</v>
      </c>
      <c r="B420" s="7" t="s">
        <v>61</v>
      </c>
      <c r="C420" s="7" t="s">
        <v>71</v>
      </c>
      <c r="D420" s="7"/>
      <c r="E420" s="7"/>
      <c r="F420" s="2" t="s">
        <v>9</v>
      </c>
      <c r="G420" s="3">
        <v>133539.54</v>
      </c>
      <c r="H420" s="3">
        <v>112064.56</v>
      </c>
      <c r="I420" s="3">
        <v>140473.09</v>
      </c>
      <c r="J420" s="3">
        <v>122061.16</v>
      </c>
      <c r="K420" s="3">
        <v>140055.01</v>
      </c>
      <c r="L420" s="3">
        <v>122994.65</v>
      </c>
      <c r="M420" s="3">
        <v>137535.56</v>
      </c>
      <c r="N420" s="8">
        <v>124727.45</v>
      </c>
      <c r="O420" s="3">
        <v>137900.79999999999</v>
      </c>
      <c r="P420" s="8">
        <v>120461.955</v>
      </c>
      <c r="Q420" s="28">
        <f t="shared" si="6"/>
        <v>1291813.7750000001</v>
      </c>
    </row>
    <row r="421" spans="1:17" ht="15" customHeight="1" x14ac:dyDescent="0.2">
      <c r="A421" s="1">
        <v>578</v>
      </c>
      <c r="B421" s="7" t="s">
        <v>61</v>
      </c>
      <c r="C421" s="7" t="s">
        <v>71</v>
      </c>
      <c r="D421" s="7"/>
      <c r="E421" s="7"/>
      <c r="F421" s="2" t="s">
        <v>10</v>
      </c>
      <c r="G421" s="3">
        <v>2633.72</v>
      </c>
      <c r="H421" s="3">
        <v>1244.4000000000001</v>
      </c>
      <c r="I421" s="3">
        <v>750.49</v>
      </c>
      <c r="J421" s="3">
        <v>558.37</v>
      </c>
      <c r="K421" s="3">
        <v>2457.12</v>
      </c>
      <c r="L421" s="3">
        <v>320.83</v>
      </c>
      <c r="M421" s="3">
        <v>551.22</v>
      </c>
      <c r="N421" s="8">
        <v>333.72</v>
      </c>
      <c r="O421" s="3">
        <v>1598.1375</v>
      </c>
      <c r="P421" s="8">
        <v>614.32999999999993</v>
      </c>
      <c r="Q421" s="28">
        <f t="shared" si="6"/>
        <v>11062.3375</v>
      </c>
    </row>
    <row r="422" spans="1:17" ht="15" customHeight="1" x14ac:dyDescent="0.2">
      <c r="A422" s="1">
        <v>580</v>
      </c>
      <c r="B422" s="7" t="s">
        <v>61</v>
      </c>
      <c r="C422" s="7" t="s">
        <v>71</v>
      </c>
      <c r="D422" s="5"/>
      <c r="E422" s="2" t="s">
        <v>11</v>
      </c>
      <c r="F422" s="2" t="s">
        <v>11</v>
      </c>
      <c r="G422" s="3">
        <v>1484.31</v>
      </c>
      <c r="H422" s="3">
        <v>19591.09</v>
      </c>
      <c r="I422" s="3">
        <v>0</v>
      </c>
      <c r="J422" s="3">
        <v>5986.42</v>
      </c>
      <c r="K422" s="3">
        <v>199.8</v>
      </c>
      <c r="L422" s="3">
        <v>7877.05</v>
      </c>
      <c r="M422" s="3">
        <v>641.80999999999995</v>
      </c>
      <c r="N422" s="8">
        <v>7805.88</v>
      </c>
      <c r="O422" s="3">
        <v>581.48</v>
      </c>
      <c r="P422" s="8">
        <v>10315.11</v>
      </c>
      <c r="Q422" s="28">
        <f t="shared" si="6"/>
        <v>54482.95</v>
      </c>
    </row>
    <row r="423" spans="1:17" ht="15" customHeight="1" x14ac:dyDescent="0.2">
      <c r="A423" s="1">
        <v>581</v>
      </c>
      <c r="B423" s="7" t="s">
        <v>61</v>
      </c>
      <c r="C423" s="7" t="s">
        <v>71</v>
      </c>
      <c r="D423" s="5"/>
      <c r="E423" s="2" t="s">
        <v>12</v>
      </c>
      <c r="F423" s="2" t="s">
        <v>12</v>
      </c>
      <c r="G423" s="3">
        <v>8329.43</v>
      </c>
      <c r="H423" s="3">
        <v>18711.009999999998</v>
      </c>
      <c r="I423" s="3">
        <v>6571.4</v>
      </c>
      <c r="J423" s="3">
        <v>21152.98</v>
      </c>
      <c r="K423" s="3">
        <v>6206.07</v>
      </c>
      <c r="L423" s="3">
        <v>21499.41</v>
      </c>
      <c r="M423" s="3">
        <v>6377.35</v>
      </c>
      <c r="N423" s="8">
        <v>16723.59</v>
      </c>
      <c r="O423" s="3">
        <v>6871.0625</v>
      </c>
      <c r="P423" s="8">
        <v>19521.747499999998</v>
      </c>
      <c r="Q423" s="28">
        <f t="shared" si="6"/>
        <v>131964.04999999999</v>
      </c>
    </row>
    <row r="424" spans="1:17" ht="15" customHeight="1" x14ac:dyDescent="0.2">
      <c r="A424" s="1">
        <v>582</v>
      </c>
      <c r="B424" s="7" t="s">
        <v>61</v>
      </c>
      <c r="C424" s="7" t="s">
        <v>71</v>
      </c>
      <c r="D424" s="5"/>
      <c r="E424" s="26" t="s">
        <v>13</v>
      </c>
      <c r="F424" s="2" t="s">
        <v>13</v>
      </c>
      <c r="G424" s="3">
        <v>21520.01</v>
      </c>
      <c r="H424" s="3">
        <v>29700.49</v>
      </c>
      <c r="I424" s="3">
        <v>21784.06</v>
      </c>
      <c r="J424" s="3">
        <v>34838.11</v>
      </c>
      <c r="K424" s="3">
        <v>20677.740000000002</v>
      </c>
      <c r="L424" s="3">
        <v>34332.769999999997</v>
      </c>
      <c r="M424" s="3">
        <v>23508.6</v>
      </c>
      <c r="N424" s="8">
        <v>38064.44</v>
      </c>
      <c r="O424" s="3">
        <v>21872.602500000001</v>
      </c>
      <c r="P424" s="8">
        <v>34233.952499999999</v>
      </c>
      <c r="Q424" s="28">
        <f t="shared" si="6"/>
        <v>280532.77500000002</v>
      </c>
    </row>
    <row r="425" spans="1:17" ht="15" customHeight="1" x14ac:dyDescent="0.2">
      <c r="A425" s="1">
        <v>583</v>
      </c>
      <c r="B425" s="7" t="s">
        <v>61</v>
      </c>
      <c r="C425" s="7" t="s">
        <v>71</v>
      </c>
      <c r="D425" s="5"/>
      <c r="E425" s="26" t="s">
        <v>14</v>
      </c>
      <c r="F425" s="2" t="s">
        <v>14</v>
      </c>
      <c r="G425" s="3">
        <v>13332.24</v>
      </c>
      <c r="H425" s="3">
        <v>15850.31</v>
      </c>
      <c r="I425" s="3">
        <v>12223.73</v>
      </c>
      <c r="J425" s="3">
        <v>16120.5</v>
      </c>
      <c r="K425" s="3">
        <v>12618.77</v>
      </c>
      <c r="L425" s="3">
        <v>15907.29</v>
      </c>
      <c r="M425" s="3">
        <v>13373.46</v>
      </c>
      <c r="N425" s="8">
        <v>15105.89</v>
      </c>
      <c r="O425" s="3">
        <v>12887.050000000001</v>
      </c>
      <c r="P425" s="8">
        <v>15745.997499999999</v>
      </c>
      <c r="Q425" s="28">
        <f t="shared" si="6"/>
        <v>143165.23749999999</v>
      </c>
    </row>
    <row r="426" spans="1:17" ht="15" customHeight="1" x14ac:dyDescent="0.2">
      <c r="A426" s="1">
        <v>584</v>
      </c>
      <c r="B426" s="7" t="s">
        <v>61</v>
      </c>
      <c r="C426" s="7" t="s">
        <v>72</v>
      </c>
      <c r="D426" s="2" t="s">
        <v>7</v>
      </c>
      <c r="E426" s="2"/>
      <c r="F426" s="2" t="s">
        <v>7</v>
      </c>
      <c r="G426" s="3">
        <v>665699</v>
      </c>
      <c r="H426" s="3">
        <v>736939</v>
      </c>
      <c r="I426" s="3">
        <v>665882</v>
      </c>
      <c r="J426" s="3">
        <v>737485</v>
      </c>
      <c r="K426" s="3">
        <v>665999</v>
      </c>
      <c r="L426" s="3">
        <v>737962</v>
      </c>
      <c r="M426" s="3">
        <v>665967</v>
      </c>
      <c r="N426" s="8">
        <v>738252</v>
      </c>
      <c r="O426" s="3">
        <v>665886.75</v>
      </c>
      <c r="P426" s="8">
        <v>737659.5</v>
      </c>
      <c r="Q426" s="28">
        <f t="shared" si="6"/>
        <v>7017731.25</v>
      </c>
    </row>
    <row r="427" spans="1:17" ht="15" customHeight="1" x14ac:dyDescent="0.2">
      <c r="A427" s="1">
        <v>586</v>
      </c>
      <c r="B427" s="7" t="s">
        <v>61</v>
      </c>
      <c r="C427" s="7" t="s">
        <v>72</v>
      </c>
      <c r="D427" s="5"/>
      <c r="E427" s="2" t="s">
        <v>8</v>
      </c>
      <c r="F427" s="2" t="s">
        <v>8</v>
      </c>
      <c r="G427" s="3">
        <v>5043.71</v>
      </c>
      <c r="H427" s="3">
        <v>925.09</v>
      </c>
      <c r="I427" s="3">
        <v>0</v>
      </c>
      <c r="J427" s="3">
        <v>1624.2</v>
      </c>
      <c r="K427" s="3">
        <v>0</v>
      </c>
      <c r="L427" s="3">
        <v>0</v>
      </c>
      <c r="M427" s="3">
        <v>508.45</v>
      </c>
      <c r="N427" s="8">
        <v>908.36</v>
      </c>
      <c r="O427" s="3">
        <v>1388.04</v>
      </c>
      <c r="P427" s="8">
        <v>864.41250000000002</v>
      </c>
      <c r="Q427" s="28">
        <f t="shared" si="6"/>
        <v>11262.262499999999</v>
      </c>
    </row>
    <row r="428" spans="1:17" ht="15" customHeight="1" x14ac:dyDescent="0.2">
      <c r="A428" s="1">
        <v>588</v>
      </c>
      <c r="B428" s="7" t="s">
        <v>61</v>
      </c>
      <c r="C428" s="7" t="s">
        <v>72</v>
      </c>
      <c r="D428" s="5"/>
      <c r="E428" s="7"/>
      <c r="F428" s="2" t="s">
        <v>9</v>
      </c>
      <c r="G428" s="3">
        <v>471192.53</v>
      </c>
      <c r="H428" s="3">
        <v>442775.49</v>
      </c>
      <c r="I428" s="3">
        <v>492519.74</v>
      </c>
      <c r="J428" s="3">
        <v>449546</v>
      </c>
      <c r="K428" s="3">
        <v>502402.36</v>
      </c>
      <c r="L428" s="3">
        <v>458804.56</v>
      </c>
      <c r="M428" s="3">
        <v>492982.79</v>
      </c>
      <c r="N428" s="8">
        <v>452610.69</v>
      </c>
      <c r="O428" s="3">
        <v>489774.35499999998</v>
      </c>
      <c r="P428" s="8">
        <v>450934.185</v>
      </c>
      <c r="Q428" s="28">
        <f t="shared" si="6"/>
        <v>4703542.7</v>
      </c>
    </row>
    <row r="429" spans="1:17" ht="15" customHeight="1" x14ac:dyDescent="0.2">
      <c r="A429" s="1">
        <v>589</v>
      </c>
      <c r="B429" s="7" t="s">
        <v>61</v>
      </c>
      <c r="C429" s="7" t="s">
        <v>72</v>
      </c>
      <c r="D429" s="5"/>
      <c r="E429" s="7"/>
      <c r="F429" s="2" t="s">
        <v>10</v>
      </c>
      <c r="G429" s="3">
        <v>0</v>
      </c>
      <c r="H429" s="3">
        <v>463.87</v>
      </c>
      <c r="I429" s="3">
        <v>2116.0300000000002</v>
      </c>
      <c r="J429" s="3">
        <v>0</v>
      </c>
      <c r="K429" s="3">
        <v>0</v>
      </c>
      <c r="L429" s="3">
        <v>3715.26</v>
      </c>
      <c r="M429" s="3">
        <v>0</v>
      </c>
      <c r="N429" s="8">
        <v>517.63</v>
      </c>
      <c r="O429" s="3">
        <v>529.00750000000005</v>
      </c>
      <c r="P429" s="8">
        <v>1174.19</v>
      </c>
      <c r="Q429" s="28">
        <f t="shared" si="6"/>
        <v>8515.9874999999993</v>
      </c>
    </row>
    <row r="430" spans="1:17" ht="15" customHeight="1" x14ac:dyDescent="0.2">
      <c r="A430" s="1">
        <v>591</v>
      </c>
      <c r="B430" s="7" t="s">
        <v>61</v>
      </c>
      <c r="C430" s="7" t="s">
        <v>72</v>
      </c>
      <c r="D430" s="5"/>
      <c r="E430" s="2" t="s">
        <v>11</v>
      </c>
      <c r="F430" s="2" t="s">
        <v>11</v>
      </c>
      <c r="G430" s="3">
        <v>0</v>
      </c>
      <c r="H430" s="3">
        <v>86003.72</v>
      </c>
      <c r="I430" s="3">
        <v>0</v>
      </c>
      <c r="J430" s="3">
        <v>67654.429999999993</v>
      </c>
      <c r="K430" s="3">
        <v>3658.32</v>
      </c>
      <c r="L430" s="3">
        <v>70626.039999999994</v>
      </c>
      <c r="M430" s="3">
        <v>0</v>
      </c>
      <c r="N430" s="8">
        <v>72633.289999999994</v>
      </c>
      <c r="O430" s="3">
        <v>914.58</v>
      </c>
      <c r="P430" s="8">
        <v>74229.37</v>
      </c>
      <c r="Q430" s="28">
        <f t="shared" si="6"/>
        <v>375719.75</v>
      </c>
    </row>
    <row r="431" spans="1:17" ht="15" customHeight="1" x14ac:dyDescent="0.2">
      <c r="A431" s="1">
        <v>592</v>
      </c>
      <c r="B431" s="7" t="s">
        <v>61</v>
      </c>
      <c r="C431" s="7" t="s">
        <v>72</v>
      </c>
      <c r="D431" s="7"/>
      <c r="E431" s="2" t="s">
        <v>12</v>
      </c>
      <c r="F431" s="2" t="s">
        <v>12</v>
      </c>
      <c r="G431" s="3">
        <v>12404.29</v>
      </c>
      <c r="H431" s="3">
        <v>10577.06</v>
      </c>
      <c r="I431" s="3">
        <v>9238.74</v>
      </c>
      <c r="J431" s="3">
        <v>12068.19</v>
      </c>
      <c r="K431" s="3">
        <v>5117.5600000000004</v>
      </c>
      <c r="L431" s="3">
        <v>2450.35</v>
      </c>
      <c r="M431" s="3">
        <v>9371.52</v>
      </c>
      <c r="N431" s="8">
        <v>8416.66</v>
      </c>
      <c r="O431" s="3">
        <v>9033.0275000000001</v>
      </c>
      <c r="P431" s="8">
        <v>8378.0649999999987</v>
      </c>
      <c r="Q431" s="28">
        <f t="shared" si="6"/>
        <v>87055.462499999994</v>
      </c>
    </row>
    <row r="432" spans="1:17" ht="15" customHeight="1" x14ac:dyDescent="0.2">
      <c r="A432" s="1">
        <v>593</v>
      </c>
      <c r="B432" s="7" t="s">
        <v>61</v>
      </c>
      <c r="C432" s="7" t="s">
        <v>72</v>
      </c>
      <c r="D432" s="7"/>
      <c r="E432" s="2" t="s">
        <v>13</v>
      </c>
      <c r="F432" s="2" t="s">
        <v>13</v>
      </c>
      <c r="G432" s="3">
        <v>82565</v>
      </c>
      <c r="H432" s="3">
        <v>108764.08</v>
      </c>
      <c r="I432" s="3">
        <v>78443.69</v>
      </c>
      <c r="J432" s="3">
        <v>118663.76</v>
      </c>
      <c r="K432" s="3">
        <v>67555.53</v>
      </c>
      <c r="L432" s="3">
        <v>108289.46</v>
      </c>
      <c r="M432" s="3">
        <v>76106.58</v>
      </c>
      <c r="N432" s="8">
        <v>112247.37</v>
      </c>
      <c r="O432" s="3">
        <v>76167.7</v>
      </c>
      <c r="P432" s="8">
        <v>111991.1675</v>
      </c>
      <c r="Q432" s="28">
        <f t="shared" si="6"/>
        <v>940794.33749999991</v>
      </c>
    </row>
    <row r="433" spans="1:17" ht="15" customHeight="1" x14ac:dyDescent="0.2">
      <c r="A433" s="1">
        <v>594</v>
      </c>
      <c r="B433" s="7" t="s">
        <v>61</v>
      </c>
      <c r="C433" s="7" t="s">
        <v>72</v>
      </c>
      <c r="D433" s="5"/>
      <c r="E433" s="2" t="s">
        <v>14</v>
      </c>
      <c r="F433" s="2" t="s">
        <v>14</v>
      </c>
      <c r="G433" s="3">
        <v>94493.48</v>
      </c>
      <c r="H433" s="3">
        <v>87429.69</v>
      </c>
      <c r="I433" s="3">
        <v>83563.8</v>
      </c>
      <c r="J433" s="3">
        <v>87928.42</v>
      </c>
      <c r="K433" s="3">
        <v>87265.24</v>
      </c>
      <c r="L433" s="3">
        <v>94076.32</v>
      </c>
      <c r="M433" s="3">
        <v>86997.66</v>
      </c>
      <c r="N433" s="8">
        <v>90918</v>
      </c>
      <c r="O433" s="3">
        <v>88080.045000000013</v>
      </c>
      <c r="P433" s="8">
        <v>90088.107499999998</v>
      </c>
      <c r="Q433" s="28">
        <f t="shared" si="6"/>
        <v>890840.76250000007</v>
      </c>
    </row>
    <row r="434" spans="1:17" ht="15" customHeight="1" x14ac:dyDescent="0.2">
      <c r="A434" s="1">
        <v>595</v>
      </c>
      <c r="B434" s="7" t="s">
        <v>61</v>
      </c>
      <c r="C434" s="7" t="s">
        <v>73</v>
      </c>
      <c r="D434" s="26" t="s">
        <v>7</v>
      </c>
      <c r="E434" s="2"/>
      <c r="F434" s="2" t="s">
        <v>7</v>
      </c>
      <c r="G434" s="3">
        <v>486428</v>
      </c>
      <c r="H434" s="3">
        <v>537591</v>
      </c>
      <c r="I434" s="3">
        <v>486428</v>
      </c>
      <c r="J434" s="3">
        <v>537842</v>
      </c>
      <c r="K434" s="3">
        <v>486398</v>
      </c>
      <c r="L434" s="3">
        <v>538047</v>
      </c>
      <c r="M434" s="3">
        <v>486249</v>
      </c>
      <c r="N434" s="8">
        <v>538119</v>
      </c>
      <c r="O434" s="3">
        <v>486375.75</v>
      </c>
      <c r="P434" s="8">
        <v>537899.75</v>
      </c>
      <c r="Q434" s="28">
        <f t="shared" si="6"/>
        <v>5121377.5</v>
      </c>
    </row>
    <row r="435" spans="1:17" ht="15" customHeight="1" x14ac:dyDescent="0.2">
      <c r="A435" s="1">
        <v>597</v>
      </c>
      <c r="B435" s="7" t="s">
        <v>61</v>
      </c>
      <c r="C435" s="7" t="s">
        <v>73</v>
      </c>
      <c r="D435" s="5"/>
      <c r="E435" s="26" t="s">
        <v>8</v>
      </c>
      <c r="F435" s="2" t="s">
        <v>8</v>
      </c>
      <c r="G435" s="3">
        <v>5161.8500000000004</v>
      </c>
      <c r="H435" s="3">
        <v>3956.9</v>
      </c>
      <c r="I435" s="3">
        <v>3298.9</v>
      </c>
      <c r="J435" s="3">
        <v>4569.33</v>
      </c>
      <c r="K435" s="3">
        <v>0</v>
      </c>
      <c r="L435" s="3">
        <v>0</v>
      </c>
      <c r="M435" s="3">
        <v>810.96</v>
      </c>
      <c r="N435" s="8">
        <v>2392.2800000000002</v>
      </c>
      <c r="O435" s="3">
        <v>2317.9274999999998</v>
      </c>
      <c r="P435" s="8">
        <v>2729.6275000000001</v>
      </c>
      <c r="Q435" s="28">
        <f t="shared" si="6"/>
        <v>25237.774999999998</v>
      </c>
    </row>
    <row r="436" spans="1:17" ht="15" customHeight="1" x14ac:dyDescent="0.2">
      <c r="A436" s="1">
        <v>599</v>
      </c>
      <c r="B436" s="7" t="s">
        <v>61</v>
      </c>
      <c r="C436" s="7" t="s">
        <v>73</v>
      </c>
      <c r="D436" s="5"/>
      <c r="E436" s="5"/>
      <c r="F436" s="2" t="s">
        <v>9</v>
      </c>
      <c r="G436" s="3">
        <v>322606.56</v>
      </c>
      <c r="H436" s="3">
        <v>253392.59</v>
      </c>
      <c r="I436" s="3">
        <v>324721.08</v>
      </c>
      <c r="J436" s="3">
        <v>260821.69</v>
      </c>
      <c r="K436" s="3">
        <v>353476.43</v>
      </c>
      <c r="L436" s="3">
        <v>291064.18</v>
      </c>
      <c r="M436" s="3">
        <v>347618.05</v>
      </c>
      <c r="N436" s="8">
        <v>274953.07</v>
      </c>
      <c r="O436" s="3">
        <v>337105.53</v>
      </c>
      <c r="P436" s="8">
        <v>270057.88250000001</v>
      </c>
      <c r="Q436" s="28">
        <f t="shared" si="6"/>
        <v>3035817.0624999995</v>
      </c>
    </row>
    <row r="437" spans="1:17" ht="15" customHeight="1" x14ac:dyDescent="0.2">
      <c r="A437" s="1">
        <v>600</v>
      </c>
      <c r="B437" s="7" t="s">
        <v>61</v>
      </c>
      <c r="C437" s="7" t="s">
        <v>73</v>
      </c>
      <c r="D437" s="7"/>
      <c r="E437" s="7"/>
      <c r="F437" s="2" t="s">
        <v>10</v>
      </c>
      <c r="G437" s="3">
        <v>989.62</v>
      </c>
      <c r="H437" s="3">
        <v>2831.63</v>
      </c>
      <c r="I437" s="3">
        <v>2560.79</v>
      </c>
      <c r="J437" s="3">
        <v>6391.76</v>
      </c>
      <c r="K437" s="3">
        <v>3235.13</v>
      </c>
      <c r="L437" s="3">
        <v>4270.54</v>
      </c>
      <c r="M437" s="3">
        <v>4275.87</v>
      </c>
      <c r="N437" s="8">
        <v>1038.78</v>
      </c>
      <c r="O437" s="3">
        <v>2765.3525</v>
      </c>
      <c r="P437" s="8">
        <v>3633.1775000000002</v>
      </c>
      <c r="Q437" s="28">
        <f t="shared" si="6"/>
        <v>31992.65</v>
      </c>
    </row>
    <row r="438" spans="1:17" ht="15" customHeight="1" x14ac:dyDescent="0.2">
      <c r="A438" s="1">
        <v>602</v>
      </c>
      <c r="B438" s="7" t="s">
        <v>61</v>
      </c>
      <c r="C438" s="7" t="s">
        <v>73</v>
      </c>
      <c r="D438" s="5"/>
      <c r="E438" s="2" t="s">
        <v>11</v>
      </c>
      <c r="F438" s="2" t="s">
        <v>11</v>
      </c>
      <c r="G438" s="3">
        <v>7790.9</v>
      </c>
      <c r="H438" s="3">
        <v>99736.960000000006</v>
      </c>
      <c r="I438" s="3">
        <v>13424.24</v>
      </c>
      <c r="J438" s="3">
        <v>89716.93</v>
      </c>
      <c r="K438" s="3">
        <v>6145.73</v>
      </c>
      <c r="L438" s="3">
        <v>81449.61</v>
      </c>
      <c r="M438" s="3">
        <v>3647.78</v>
      </c>
      <c r="N438" s="8">
        <v>92033.39</v>
      </c>
      <c r="O438" s="3">
        <v>7752.1624999999995</v>
      </c>
      <c r="P438" s="8">
        <v>90734.222500000003</v>
      </c>
      <c r="Q438" s="28">
        <f t="shared" si="6"/>
        <v>492431.92500000005</v>
      </c>
    </row>
    <row r="439" spans="1:17" ht="15" customHeight="1" x14ac:dyDescent="0.2">
      <c r="A439" s="1">
        <v>603</v>
      </c>
      <c r="B439" s="7" t="s">
        <v>61</v>
      </c>
      <c r="C439" s="7" t="s">
        <v>73</v>
      </c>
      <c r="D439" s="5"/>
      <c r="E439" s="2" t="s">
        <v>12</v>
      </c>
      <c r="F439" s="2" t="s">
        <v>12</v>
      </c>
      <c r="G439" s="3">
        <v>28534.54</v>
      </c>
      <c r="H439" s="3">
        <v>16035</v>
      </c>
      <c r="I439" s="3">
        <v>23448.01</v>
      </c>
      <c r="J439" s="3">
        <v>16079.84</v>
      </c>
      <c r="K439" s="3">
        <v>14846.29</v>
      </c>
      <c r="L439" s="3">
        <v>10819.31</v>
      </c>
      <c r="M439" s="3">
        <v>14247.25</v>
      </c>
      <c r="N439" s="8">
        <v>12762.34</v>
      </c>
      <c r="O439" s="3">
        <v>20269.022499999999</v>
      </c>
      <c r="P439" s="8">
        <v>13924.122500000001</v>
      </c>
      <c r="Q439" s="28">
        <f t="shared" si="6"/>
        <v>170965.72499999998</v>
      </c>
    </row>
    <row r="440" spans="1:17" ht="15" customHeight="1" x14ac:dyDescent="0.2">
      <c r="A440" s="1">
        <v>604</v>
      </c>
      <c r="B440" s="7" t="s">
        <v>61</v>
      </c>
      <c r="C440" s="7" t="s">
        <v>73</v>
      </c>
      <c r="D440" s="5"/>
      <c r="E440" s="2" t="s">
        <v>13</v>
      </c>
      <c r="F440" s="2" t="s">
        <v>13</v>
      </c>
      <c r="G440" s="3">
        <v>74846.52</v>
      </c>
      <c r="H440" s="3">
        <v>102210.57</v>
      </c>
      <c r="I440" s="3">
        <v>68735.23</v>
      </c>
      <c r="J440" s="3">
        <v>101675.4</v>
      </c>
      <c r="K440" s="3">
        <v>58406.69</v>
      </c>
      <c r="L440" s="3">
        <v>91853.85</v>
      </c>
      <c r="M440" s="3">
        <v>68199.13</v>
      </c>
      <c r="N440" s="8">
        <v>101352.35</v>
      </c>
      <c r="O440" s="3">
        <v>67546.892500000002</v>
      </c>
      <c r="P440" s="8">
        <v>99273.04250000001</v>
      </c>
      <c r="Q440" s="28">
        <f t="shared" si="6"/>
        <v>834099.67499999993</v>
      </c>
    </row>
    <row r="441" spans="1:17" ht="15" customHeight="1" x14ac:dyDescent="0.2">
      <c r="A441" s="1">
        <v>605</v>
      </c>
      <c r="B441" s="7" t="s">
        <v>61</v>
      </c>
      <c r="C441" s="7" t="s">
        <v>73</v>
      </c>
      <c r="D441" s="5"/>
      <c r="E441" s="2" t="s">
        <v>14</v>
      </c>
      <c r="F441" s="2" t="s">
        <v>14</v>
      </c>
      <c r="G441" s="3">
        <v>46498.02</v>
      </c>
      <c r="H441" s="3">
        <v>59427.35</v>
      </c>
      <c r="I441" s="3">
        <v>50239.74</v>
      </c>
      <c r="J441" s="3">
        <v>58587.06</v>
      </c>
      <c r="K441" s="3">
        <v>50287.72</v>
      </c>
      <c r="L441" s="3">
        <v>58589.51</v>
      </c>
      <c r="M441" s="3">
        <v>47449.97</v>
      </c>
      <c r="N441" s="8">
        <v>53586.77</v>
      </c>
      <c r="O441" s="3">
        <v>48618.862499999996</v>
      </c>
      <c r="P441" s="8">
        <v>57547.672500000001</v>
      </c>
      <c r="Q441" s="28">
        <f t="shared" si="6"/>
        <v>530832.67500000005</v>
      </c>
    </row>
    <row r="442" spans="1:17" ht="15" customHeight="1" x14ac:dyDescent="0.2">
      <c r="A442" s="1">
        <v>606</v>
      </c>
      <c r="B442" s="7" t="s">
        <v>61</v>
      </c>
      <c r="C442" s="7" t="s">
        <v>74</v>
      </c>
      <c r="D442" s="2" t="s">
        <v>7</v>
      </c>
      <c r="E442" s="2"/>
      <c r="F442" s="2" t="s">
        <v>7</v>
      </c>
      <c r="G442" s="3">
        <v>208657</v>
      </c>
      <c r="H442" s="3">
        <v>231047</v>
      </c>
      <c r="I442" s="3">
        <v>208606</v>
      </c>
      <c r="J442" s="3">
        <v>231098</v>
      </c>
      <c r="K442" s="3">
        <v>208542</v>
      </c>
      <c r="L442" s="3">
        <v>231139</v>
      </c>
      <c r="M442" s="3">
        <v>208428</v>
      </c>
      <c r="N442" s="8">
        <v>231117</v>
      </c>
      <c r="O442" s="3">
        <v>208558.25</v>
      </c>
      <c r="P442" s="8">
        <v>231100.25</v>
      </c>
      <c r="Q442" s="28">
        <f t="shared" si="6"/>
        <v>2198292.5</v>
      </c>
    </row>
    <row r="443" spans="1:17" ht="15" customHeight="1" x14ac:dyDescent="0.2">
      <c r="A443" s="1">
        <v>608</v>
      </c>
      <c r="B443" s="7" t="s">
        <v>61</v>
      </c>
      <c r="C443" s="7" t="s">
        <v>74</v>
      </c>
      <c r="D443" s="7"/>
      <c r="E443" s="2" t="s">
        <v>8</v>
      </c>
      <c r="F443" s="2" t="s">
        <v>8</v>
      </c>
      <c r="G443" s="3">
        <v>1012.13</v>
      </c>
      <c r="H443" s="3">
        <v>1002.99</v>
      </c>
      <c r="I443" s="3">
        <v>1436.42</v>
      </c>
      <c r="J443" s="3">
        <v>97.08</v>
      </c>
      <c r="K443" s="3">
        <v>504.66</v>
      </c>
      <c r="L443" s="3">
        <v>1008.52</v>
      </c>
      <c r="M443" s="3">
        <v>1581.14</v>
      </c>
      <c r="N443" s="8">
        <v>235.18</v>
      </c>
      <c r="O443" s="3">
        <v>1133.5875000000001</v>
      </c>
      <c r="P443" s="8">
        <v>585.9425</v>
      </c>
      <c r="Q443" s="28">
        <f t="shared" si="6"/>
        <v>8597.65</v>
      </c>
    </row>
    <row r="444" spans="1:17" ht="15" customHeight="1" x14ac:dyDescent="0.2">
      <c r="A444" s="1">
        <v>610</v>
      </c>
      <c r="B444" s="7" t="s">
        <v>61</v>
      </c>
      <c r="C444" s="7" t="s">
        <v>74</v>
      </c>
      <c r="D444" s="5"/>
      <c r="E444" s="7"/>
      <c r="F444" s="2" t="s">
        <v>9</v>
      </c>
      <c r="G444" s="3">
        <v>157627.54</v>
      </c>
      <c r="H444" s="3">
        <v>144279.63</v>
      </c>
      <c r="I444" s="3">
        <v>154095.06</v>
      </c>
      <c r="J444" s="3">
        <v>142865.67000000001</v>
      </c>
      <c r="K444" s="3">
        <v>141477.64000000001</v>
      </c>
      <c r="L444" s="3">
        <v>129202.95</v>
      </c>
      <c r="M444" s="3">
        <v>141128.64000000001</v>
      </c>
      <c r="N444" s="8">
        <v>122666.36</v>
      </c>
      <c r="O444" s="3">
        <v>148582.22</v>
      </c>
      <c r="P444" s="8">
        <v>134753.65250000003</v>
      </c>
      <c r="Q444" s="28">
        <f t="shared" si="6"/>
        <v>1416679.3625</v>
      </c>
    </row>
    <row r="445" spans="1:17" ht="15" customHeight="1" x14ac:dyDescent="0.2">
      <c r="A445" s="1">
        <v>611</v>
      </c>
      <c r="B445" s="7" t="s">
        <v>61</v>
      </c>
      <c r="C445" s="7" t="s">
        <v>74</v>
      </c>
      <c r="D445" s="5"/>
      <c r="E445" s="7"/>
      <c r="F445" s="2" t="s">
        <v>10</v>
      </c>
      <c r="G445" s="3">
        <v>489.33</v>
      </c>
      <c r="H445" s="3">
        <v>0</v>
      </c>
      <c r="I445" s="3">
        <v>859.14</v>
      </c>
      <c r="J445" s="3">
        <v>0</v>
      </c>
      <c r="K445" s="3">
        <v>0</v>
      </c>
      <c r="L445" s="3">
        <v>0</v>
      </c>
      <c r="M445" s="3">
        <v>0</v>
      </c>
      <c r="N445" s="8">
        <v>0</v>
      </c>
      <c r="O445" s="3">
        <v>337.11750000000001</v>
      </c>
      <c r="P445" s="8">
        <v>0</v>
      </c>
      <c r="Q445" s="28">
        <f t="shared" si="6"/>
        <v>1685.5875000000001</v>
      </c>
    </row>
    <row r="446" spans="1:17" ht="15" customHeight="1" x14ac:dyDescent="0.2">
      <c r="A446" s="1">
        <v>613</v>
      </c>
      <c r="B446" s="7" t="s">
        <v>61</v>
      </c>
      <c r="C446" s="7" t="s">
        <v>74</v>
      </c>
      <c r="D446" s="5"/>
      <c r="E446" s="26" t="s">
        <v>11</v>
      </c>
      <c r="F446" s="2" t="s">
        <v>11</v>
      </c>
      <c r="G446" s="3">
        <v>1137.69</v>
      </c>
      <c r="H446" s="3">
        <v>17262.13</v>
      </c>
      <c r="I446" s="3">
        <v>1571.36</v>
      </c>
      <c r="J446" s="3">
        <v>20566.14</v>
      </c>
      <c r="K446" s="3">
        <v>4253.01</v>
      </c>
      <c r="L446" s="3">
        <v>28518.41</v>
      </c>
      <c r="M446" s="3">
        <v>2370.65</v>
      </c>
      <c r="N446" s="8">
        <v>26787.56</v>
      </c>
      <c r="O446" s="3">
        <v>2333.1775000000002</v>
      </c>
      <c r="P446" s="8">
        <v>23283.56</v>
      </c>
      <c r="Q446" s="28">
        <f t="shared" si="6"/>
        <v>128083.6875</v>
      </c>
    </row>
    <row r="447" spans="1:17" ht="15" customHeight="1" x14ac:dyDescent="0.2">
      <c r="A447" s="1">
        <v>614</v>
      </c>
      <c r="B447" s="7" t="s">
        <v>61</v>
      </c>
      <c r="C447" s="7" t="s">
        <v>74</v>
      </c>
      <c r="D447" s="5"/>
      <c r="E447" s="26" t="s">
        <v>12</v>
      </c>
      <c r="F447" s="2" t="s">
        <v>12</v>
      </c>
      <c r="G447" s="3">
        <v>6564.32</v>
      </c>
      <c r="H447" s="3">
        <v>6264.41</v>
      </c>
      <c r="I447" s="3">
        <v>7808.5</v>
      </c>
      <c r="J447" s="3">
        <v>5125.53</v>
      </c>
      <c r="K447" s="3">
        <v>5539.85</v>
      </c>
      <c r="L447" s="3">
        <v>2038.18</v>
      </c>
      <c r="M447" s="3">
        <v>4108.2299999999996</v>
      </c>
      <c r="N447" s="8">
        <v>3196.05</v>
      </c>
      <c r="O447" s="3">
        <v>6005.2249999999995</v>
      </c>
      <c r="P447" s="8">
        <v>4156.0424999999996</v>
      </c>
      <c r="Q447" s="28">
        <f t="shared" si="6"/>
        <v>50806.337500000009</v>
      </c>
    </row>
    <row r="448" spans="1:17" ht="15" customHeight="1" x14ac:dyDescent="0.2">
      <c r="A448" s="1">
        <v>615</v>
      </c>
      <c r="B448" s="7" t="s">
        <v>61</v>
      </c>
      <c r="C448" s="7" t="s">
        <v>74</v>
      </c>
      <c r="D448" s="7"/>
      <c r="E448" s="2" t="s">
        <v>13</v>
      </c>
      <c r="F448" s="2" t="s">
        <v>13</v>
      </c>
      <c r="G448" s="3">
        <v>22649.759999999998</v>
      </c>
      <c r="H448" s="3">
        <v>37567.050000000003</v>
      </c>
      <c r="I448" s="3">
        <v>23769.25</v>
      </c>
      <c r="J448" s="3">
        <v>39535.379999999997</v>
      </c>
      <c r="K448" s="3">
        <v>34876.300000000003</v>
      </c>
      <c r="L448" s="3">
        <v>46028.41</v>
      </c>
      <c r="M448" s="3">
        <v>36469.730000000003</v>
      </c>
      <c r="N448" s="8">
        <v>52090.3</v>
      </c>
      <c r="O448" s="3">
        <v>29441.260000000002</v>
      </c>
      <c r="P448" s="8">
        <v>43805.285000000003</v>
      </c>
      <c r="Q448" s="28">
        <f t="shared" si="6"/>
        <v>366232.72499999998</v>
      </c>
    </row>
    <row r="449" spans="1:17" ht="15" customHeight="1" x14ac:dyDescent="0.2">
      <c r="A449" s="1">
        <v>616</v>
      </c>
      <c r="B449" s="7" t="s">
        <v>61</v>
      </c>
      <c r="C449" s="7" t="s">
        <v>74</v>
      </c>
      <c r="D449" s="5"/>
      <c r="E449" s="2" t="s">
        <v>14</v>
      </c>
      <c r="F449" s="2" t="s">
        <v>14</v>
      </c>
      <c r="G449" s="3">
        <v>19176.23</v>
      </c>
      <c r="H449" s="3">
        <v>24670.78</v>
      </c>
      <c r="I449" s="3">
        <v>19066.27</v>
      </c>
      <c r="J449" s="3">
        <v>22908.21</v>
      </c>
      <c r="K449" s="3">
        <v>21890.53</v>
      </c>
      <c r="L449" s="3">
        <v>24342.54</v>
      </c>
      <c r="M449" s="3">
        <v>22769.61</v>
      </c>
      <c r="N449" s="8">
        <v>26141.55</v>
      </c>
      <c r="O449" s="3">
        <v>20725.66</v>
      </c>
      <c r="P449" s="8">
        <v>24515.77</v>
      </c>
      <c r="Q449" s="28">
        <f t="shared" si="6"/>
        <v>226207.14999999997</v>
      </c>
    </row>
    <row r="450" spans="1:17" ht="15" customHeight="1" x14ac:dyDescent="0.2">
      <c r="A450" s="1">
        <v>617</v>
      </c>
      <c r="B450" s="7" t="s">
        <v>61</v>
      </c>
      <c r="C450" s="7" t="s">
        <v>75</v>
      </c>
      <c r="D450" s="26" t="s">
        <v>7</v>
      </c>
      <c r="E450" s="2"/>
      <c r="F450" s="2" t="s">
        <v>7</v>
      </c>
      <c r="G450" s="3">
        <v>176032</v>
      </c>
      <c r="H450" s="3">
        <v>197784</v>
      </c>
      <c r="I450" s="3">
        <v>176197</v>
      </c>
      <c r="J450" s="3">
        <v>198064</v>
      </c>
      <c r="K450" s="3">
        <v>176348</v>
      </c>
      <c r="L450" s="3">
        <v>198327</v>
      </c>
      <c r="M450" s="3">
        <v>176459</v>
      </c>
      <c r="N450" s="8">
        <v>198543</v>
      </c>
      <c r="O450" s="3">
        <v>176259</v>
      </c>
      <c r="P450" s="8">
        <v>198179.5</v>
      </c>
      <c r="Q450" s="28">
        <f t="shared" si="6"/>
        <v>1872192.5</v>
      </c>
    </row>
    <row r="451" spans="1:17" ht="15" customHeight="1" x14ac:dyDescent="0.2">
      <c r="A451" s="1">
        <v>619</v>
      </c>
      <c r="B451" s="7" t="s">
        <v>61</v>
      </c>
      <c r="C451" s="7" t="s">
        <v>75</v>
      </c>
      <c r="D451" s="5"/>
      <c r="E451" s="2" t="s">
        <v>8</v>
      </c>
      <c r="F451" s="2" t="s">
        <v>8</v>
      </c>
      <c r="G451" s="3">
        <v>170.05</v>
      </c>
      <c r="H451" s="3">
        <v>692.99</v>
      </c>
      <c r="I451" s="3">
        <v>745.04</v>
      </c>
      <c r="J451" s="3">
        <v>0</v>
      </c>
      <c r="K451" s="3">
        <v>0</v>
      </c>
      <c r="L451" s="3">
        <v>0</v>
      </c>
      <c r="M451" s="3">
        <v>1906.59</v>
      </c>
      <c r="N451" s="8">
        <v>684.08</v>
      </c>
      <c r="O451" s="3">
        <v>705.42</v>
      </c>
      <c r="P451" s="8">
        <v>344.26750000000004</v>
      </c>
      <c r="Q451" s="28">
        <f t="shared" ref="Q451:Q514" si="7">SUM(G451:P451)</f>
        <v>5248.4375</v>
      </c>
    </row>
    <row r="452" spans="1:17" ht="15" customHeight="1" x14ac:dyDescent="0.2">
      <c r="A452" s="1">
        <v>621</v>
      </c>
      <c r="B452" s="7" t="s">
        <v>61</v>
      </c>
      <c r="C452" s="7" t="s">
        <v>75</v>
      </c>
      <c r="D452" s="5"/>
      <c r="E452" s="7"/>
      <c r="F452" s="2" t="s">
        <v>9</v>
      </c>
      <c r="G452" s="3">
        <v>119450.36</v>
      </c>
      <c r="H452" s="3">
        <v>103364.95</v>
      </c>
      <c r="I452" s="3">
        <v>116595.69</v>
      </c>
      <c r="J452" s="3">
        <v>103212.36</v>
      </c>
      <c r="K452" s="3">
        <v>123044.57</v>
      </c>
      <c r="L452" s="3">
        <v>98031</v>
      </c>
      <c r="M452" s="3">
        <v>122895.93</v>
      </c>
      <c r="N452" s="8">
        <v>105504.73</v>
      </c>
      <c r="O452" s="3">
        <v>120496.6375</v>
      </c>
      <c r="P452" s="8">
        <v>102528.26</v>
      </c>
      <c r="Q452" s="28">
        <f t="shared" si="7"/>
        <v>1115124.4874999998</v>
      </c>
    </row>
    <row r="453" spans="1:17" ht="15" customHeight="1" x14ac:dyDescent="0.2">
      <c r="A453" s="1">
        <v>622</v>
      </c>
      <c r="B453" s="7" t="s">
        <v>61</v>
      </c>
      <c r="C453" s="7" t="s">
        <v>75</v>
      </c>
      <c r="D453" s="7"/>
      <c r="E453" s="7"/>
      <c r="F453" s="2" t="s">
        <v>10</v>
      </c>
      <c r="G453" s="3">
        <v>875.45</v>
      </c>
      <c r="H453" s="3">
        <v>55.02</v>
      </c>
      <c r="I453" s="3">
        <v>369.31</v>
      </c>
      <c r="J453" s="3">
        <v>413.39</v>
      </c>
      <c r="K453" s="3">
        <v>610.75</v>
      </c>
      <c r="L453" s="3">
        <v>1688.32</v>
      </c>
      <c r="M453" s="3">
        <v>434.42</v>
      </c>
      <c r="N453" s="8">
        <v>955.22</v>
      </c>
      <c r="O453" s="3">
        <v>572.48249999999996</v>
      </c>
      <c r="P453" s="8">
        <v>777.98749999999995</v>
      </c>
      <c r="Q453" s="28">
        <f t="shared" si="7"/>
        <v>6752.35</v>
      </c>
    </row>
    <row r="454" spans="1:17" ht="15" customHeight="1" x14ac:dyDescent="0.2">
      <c r="A454" s="1">
        <v>624</v>
      </c>
      <c r="B454" s="7" t="s">
        <v>61</v>
      </c>
      <c r="C454" s="7" t="s">
        <v>75</v>
      </c>
      <c r="D454" s="7"/>
      <c r="E454" s="2" t="s">
        <v>11</v>
      </c>
      <c r="F454" s="2" t="s">
        <v>11</v>
      </c>
      <c r="G454" s="3">
        <v>5428.4</v>
      </c>
      <c r="H454" s="3">
        <v>36343.1</v>
      </c>
      <c r="I454" s="3">
        <v>7543.59</v>
      </c>
      <c r="J454" s="3">
        <v>39803.58</v>
      </c>
      <c r="K454" s="3">
        <v>1665.31</v>
      </c>
      <c r="L454" s="3">
        <v>45265.58</v>
      </c>
      <c r="M454" s="3">
        <v>1828.34</v>
      </c>
      <c r="N454" s="8">
        <v>36852.699999999997</v>
      </c>
      <c r="O454" s="3">
        <v>4116.41</v>
      </c>
      <c r="P454" s="8">
        <v>39566.239999999998</v>
      </c>
      <c r="Q454" s="28">
        <f t="shared" si="7"/>
        <v>218413.24999999997</v>
      </c>
    </row>
    <row r="455" spans="1:17" ht="15" customHeight="1" x14ac:dyDescent="0.2">
      <c r="A455" s="1">
        <v>625</v>
      </c>
      <c r="B455" s="7" t="s">
        <v>61</v>
      </c>
      <c r="C455" s="7" t="s">
        <v>75</v>
      </c>
      <c r="D455" s="5"/>
      <c r="E455" s="2" t="s">
        <v>12</v>
      </c>
      <c r="F455" s="2" t="s">
        <v>12</v>
      </c>
      <c r="G455" s="3">
        <v>9103.1</v>
      </c>
      <c r="H455" s="3">
        <v>6313.8</v>
      </c>
      <c r="I455" s="3">
        <v>11526.67</v>
      </c>
      <c r="J455" s="3">
        <v>4579.5200000000004</v>
      </c>
      <c r="K455" s="3">
        <v>12058.19</v>
      </c>
      <c r="L455" s="3">
        <v>7682.09</v>
      </c>
      <c r="M455" s="3">
        <v>6640.17</v>
      </c>
      <c r="N455" s="8">
        <v>4991.8900000000003</v>
      </c>
      <c r="O455" s="3">
        <v>9832.0324999999993</v>
      </c>
      <c r="P455" s="8">
        <v>5891.8249999999998</v>
      </c>
      <c r="Q455" s="28">
        <f t="shared" si="7"/>
        <v>78619.287499999991</v>
      </c>
    </row>
    <row r="456" spans="1:17" ht="15" customHeight="1" x14ac:dyDescent="0.2">
      <c r="A456" s="1">
        <v>626</v>
      </c>
      <c r="B456" s="7" t="s">
        <v>61</v>
      </c>
      <c r="C456" s="7" t="s">
        <v>75</v>
      </c>
      <c r="D456" s="5"/>
      <c r="E456" s="2" t="s">
        <v>13</v>
      </c>
      <c r="F456" s="2" t="s">
        <v>13</v>
      </c>
      <c r="G456" s="3">
        <v>23142.17</v>
      </c>
      <c r="H456" s="3">
        <v>29438.71</v>
      </c>
      <c r="I456" s="3">
        <v>22578.57</v>
      </c>
      <c r="J456" s="3">
        <v>31243.64</v>
      </c>
      <c r="K456" s="3">
        <v>21599.94</v>
      </c>
      <c r="L456" s="3">
        <v>28759.360000000001</v>
      </c>
      <c r="M456" s="3">
        <v>25516.31</v>
      </c>
      <c r="N456" s="8">
        <v>29953.09</v>
      </c>
      <c r="O456" s="3">
        <v>23209.247499999998</v>
      </c>
      <c r="P456" s="8">
        <v>29848.699999999997</v>
      </c>
      <c r="Q456" s="28">
        <f t="shared" si="7"/>
        <v>265289.73749999999</v>
      </c>
    </row>
    <row r="457" spans="1:17" ht="15" customHeight="1" x14ac:dyDescent="0.2">
      <c r="A457" s="1">
        <v>627</v>
      </c>
      <c r="B457" s="7" t="s">
        <v>61</v>
      </c>
      <c r="C457" s="7" t="s">
        <v>75</v>
      </c>
      <c r="D457" s="5"/>
      <c r="E457" s="26" t="s">
        <v>14</v>
      </c>
      <c r="F457" s="2" t="s">
        <v>14</v>
      </c>
      <c r="G457" s="3">
        <v>17862.47</v>
      </c>
      <c r="H457" s="3">
        <v>21575.42</v>
      </c>
      <c r="I457" s="3">
        <v>16838.12</v>
      </c>
      <c r="J457" s="3">
        <v>18811.5</v>
      </c>
      <c r="K457" s="3">
        <v>17369.240000000002</v>
      </c>
      <c r="L457" s="3">
        <v>16900.650000000001</v>
      </c>
      <c r="M457" s="3">
        <v>17237.23</v>
      </c>
      <c r="N457" s="8">
        <v>19601.29</v>
      </c>
      <c r="O457" s="3">
        <v>17326.764999999999</v>
      </c>
      <c r="P457" s="8">
        <v>19222.215</v>
      </c>
      <c r="Q457" s="28">
        <f t="shared" si="7"/>
        <v>182744.9</v>
      </c>
    </row>
    <row r="458" spans="1:17" ht="15" customHeight="1" x14ac:dyDescent="0.2">
      <c r="A458" s="1">
        <v>628</v>
      </c>
      <c r="B458" s="7" t="s">
        <v>61</v>
      </c>
      <c r="C458" s="7" t="s">
        <v>76</v>
      </c>
      <c r="D458" s="26" t="s">
        <v>7</v>
      </c>
      <c r="E458" s="26"/>
      <c r="F458" s="2" t="s">
        <v>7</v>
      </c>
      <c r="G458" s="3">
        <v>298311</v>
      </c>
      <c r="H458" s="3">
        <v>330295</v>
      </c>
      <c r="I458" s="3">
        <v>297966</v>
      </c>
      <c r="J458" s="3">
        <v>330064</v>
      </c>
      <c r="K458" s="3">
        <v>297597</v>
      </c>
      <c r="L458" s="3">
        <v>329813</v>
      </c>
      <c r="M458" s="3">
        <v>297164</v>
      </c>
      <c r="N458" s="8">
        <v>329483</v>
      </c>
      <c r="O458" s="3">
        <v>297759.5</v>
      </c>
      <c r="P458" s="8">
        <v>329913.75</v>
      </c>
      <c r="Q458" s="28">
        <f t="shared" si="7"/>
        <v>3138366.25</v>
      </c>
    </row>
    <row r="459" spans="1:17" ht="15" customHeight="1" x14ac:dyDescent="0.2">
      <c r="A459" s="1">
        <v>630</v>
      </c>
      <c r="B459" s="7" t="s">
        <v>61</v>
      </c>
      <c r="C459" s="7" t="s">
        <v>76</v>
      </c>
      <c r="D459" s="7"/>
      <c r="E459" s="2" t="s">
        <v>8</v>
      </c>
      <c r="F459" s="2" t="s">
        <v>8</v>
      </c>
      <c r="G459" s="3">
        <v>376.03</v>
      </c>
      <c r="H459" s="3">
        <v>409.71</v>
      </c>
      <c r="I459" s="3">
        <v>1738.17</v>
      </c>
      <c r="J459" s="3">
        <v>0</v>
      </c>
      <c r="K459" s="3">
        <v>0</v>
      </c>
      <c r="L459" s="3">
        <v>0</v>
      </c>
      <c r="M459" s="3">
        <v>0</v>
      </c>
      <c r="N459" s="8">
        <v>0</v>
      </c>
      <c r="O459" s="3">
        <v>528.54999999999995</v>
      </c>
      <c r="P459" s="8">
        <v>102.42749999999999</v>
      </c>
      <c r="Q459" s="28">
        <f t="shared" si="7"/>
        <v>3154.8874999999998</v>
      </c>
    </row>
    <row r="460" spans="1:17" ht="15" customHeight="1" x14ac:dyDescent="0.2">
      <c r="A460" s="1">
        <v>632</v>
      </c>
      <c r="B460" s="7" t="s">
        <v>61</v>
      </c>
      <c r="C460" s="7" t="s">
        <v>76</v>
      </c>
      <c r="D460" s="5"/>
      <c r="E460" s="7"/>
      <c r="F460" s="2" t="s">
        <v>9</v>
      </c>
      <c r="G460" s="3">
        <v>207582.65</v>
      </c>
      <c r="H460" s="3">
        <v>180956.59</v>
      </c>
      <c r="I460" s="3">
        <v>214941.14</v>
      </c>
      <c r="J460" s="3">
        <v>176809.4</v>
      </c>
      <c r="K460" s="3">
        <v>218080.6</v>
      </c>
      <c r="L460" s="3">
        <v>197653.91</v>
      </c>
      <c r="M460" s="3">
        <v>220396.24</v>
      </c>
      <c r="N460" s="8">
        <v>186203.16</v>
      </c>
      <c r="O460" s="3">
        <v>215250.1575</v>
      </c>
      <c r="P460" s="8">
        <v>185405.76500000001</v>
      </c>
      <c r="Q460" s="28">
        <f t="shared" si="7"/>
        <v>2003279.6124999998</v>
      </c>
    </row>
    <row r="461" spans="1:17" ht="15" customHeight="1" x14ac:dyDescent="0.2">
      <c r="A461" s="1">
        <v>633</v>
      </c>
      <c r="B461" s="7" t="s">
        <v>61</v>
      </c>
      <c r="C461" s="7" t="s">
        <v>76</v>
      </c>
      <c r="D461" s="5"/>
      <c r="E461" s="7"/>
      <c r="F461" s="2" t="s">
        <v>10</v>
      </c>
      <c r="G461" s="3">
        <v>266.51</v>
      </c>
      <c r="H461" s="3">
        <v>0</v>
      </c>
      <c r="I461" s="3">
        <v>1940.22</v>
      </c>
      <c r="J461" s="3">
        <v>0</v>
      </c>
      <c r="K461" s="3">
        <v>4483.51</v>
      </c>
      <c r="L461" s="3">
        <v>162.31</v>
      </c>
      <c r="M461" s="3">
        <v>1722.87</v>
      </c>
      <c r="N461" s="8">
        <v>560.41</v>
      </c>
      <c r="O461" s="3">
        <v>2103.2775000000001</v>
      </c>
      <c r="P461" s="8">
        <v>180.68</v>
      </c>
      <c r="Q461" s="28">
        <f t="shared" si="7"/>
        <v>11419.7875</v>
      </c>
    </row>
    <row r="462" spans="1:17" ht="15" customHeight="1" x14ac:dyDescent="0.2">
      <c r="A462" s="1">
        <v>635</v>
      </c>
      <c r="B462" s="7" t="s">
        <v>61</v>
      </c>
      <c r="C462" s="7" t="s">
        <v>76</v>
      </c>
      <c r="D462" s="5"/>
      <c r="E462" s="2" t="s">
        <v>11</v>
      </c>
      <c r="F462" s="2" t="s">
        <v>11</v>
      </c>
      <c r="G462" s="3">
        <v>5855.21</v>
      </c>
      <c r="H462" s="3">
        <v>51010.58</v>
      </c>
      <c r="I462" s="3">
        <v>1245.44</v>
      </c>
      <c r="J462" s="3">
        <v>52194.559999999998</v>
      </c>
      <c r="K462" s="3">
        <v>1024.8499999999999</v>
      </c>
      <c r="L462" s="3">
        <v>38248.300000000003</v>
      </c>
      <c r="M462" s="3">
        <v>1723.8</v>
      </c>
      <c r="N462" s="8">
        <v>50080</v>
      </c>
      <c r="O462" s="3">
        <v>2462.3249999999998</v>
      </c>
      <c r="P462" s="8">
        <v>47883.360000000001</v>
      </c>
      <c r="Q462" s="28">
        <f t="shared" si="7"/>
        <v>251728.42499999999</v>
      </c>
    </row>
    <row r="463" spans="1:17" ht="15" customHeight="1" x14ac:dyDescent="0.2">
      <c r="A463" s="1">
        <v>636</v>
      </c>
      <c r="B463" s="7" t="s">
        <v>61</v>
      </c>
      <c r="C463" s="7" t="s">
        <v>76</v>
      </c>
      <c r="D463" s="5"/>
      <c r="E463" s="2" t="s">
        <v>12</v>
      </c>
      <c r="F463" s="2" t="s">
        <v>12</v>
      </c>
      <c r="G463" s="3">
        <v>13354.33</v>
      </c>
      <c r="H463" s="3">
        <v>3610.03</v>
      </c>
      <c r="I463" s="3">
        <v>16848.43</v>
      </c>
      <c r="J463" s="3">
        <v>4383.8999999999996</v>
      </c>
      <c r="K463" s="3">
        <v>12744.92</v>
      </c>
      <c r="L463" s="3">
        <v>5163.1499999999996</v>
      </c>
      <c r="M463" s="3">
        <v>9062.7999999999993</v>
      </c>
      <c r="N463" s="8">
        <v>4928.66</v>
      </c>
      <c r="O463" s="3">
        <v>13002.619999999999</v>
      </c>
      <c r="P463" s="8">
        <v>4521.4349999999995</v>
      </c>
      <c r="Q463" s="28">
        <f t="shared" si="7"/>
        <v>87620.274999999994</v>
      </c>
    </row>
    <row r="464" spans="1:17" ht="15" customHeight="1" x14ac:dyDescent="0.2">
      <c r="A464" s="1">
        <v>637</v>
      </c>
      <c r="B464" s="7" t="s">
        <v>61</v>
      </c>
      <c r="C464" s="7" t="s">
        <v>76</v>
      </c>
      <c r="D464" s="7"/>
      <c r="E464" s="2" t="s">
        <v>13</v>
      </c>
      <c r="F464" s="2" t="s">
        <v>13</v>
      </c>
      <c r="G464" s="3">
        <v>35825.4</v>
      </c>
      <c r="H464" s="3">
        <v>52759.24</v>
      </c>
      <c r="I464" s="3">
        <v>31115.52</v>
      </c>
      <c r="J464" s="3">
        <v>53283.64</v>
      </c>
      <c r="K464" s="3">
        <v>29212.3</v>
      </c>
      <c r="L464" s="3">
        <v>48437.27</v>
      </c>
      <c r="M464" s="3">
        <v>33204.589999999997</v>
      </c>
      <c r="N464" s="8">
        <v>56140.160000000003</v>
      </c>
      <c r="O464" s="3">
        <v>32339.452499999999</v>
      </c>
      <c r="P464" s="8">
        <v>52655.077499999999</v>
      </c>
      <c r="Q464" s="28">
        <f t="shared" si="7"/>
        <v>424972.65</v>
      </c>
    </row>
    <row r="465" spans="1:17" ht="15" customHeight="1" x14ac:dyDescent="0.2">
      <c r="A465" s="1">
        <v>638</v>
      </c>
      <c r="B465" s="7" t="s">
        <v>61</v>
      </c>
      <c r="C465" s="7" t="s">
        <v>76</v>
      </c>
      <c r="D465" s="7"/>
      <c r="E465" s="2" t="s">
        <v>14</v>
      </c>
      <c r="F465" s="2" t="s">
        <v>14</v>
      </c>
      <c r="G465" s="3">
        <v>35050.870000000003</v>
      </c>
      <c r="H465" s="3">
        <v>41548.85</v>
      </c>
      <c r="I465" s="3">
        <v>30137.07</v>
      </c>
      <c r="J465" s="3">
        <v>43392.49</v>
      </c>
      <c r="K465" s="3">
        <v>32050.82</v>
      </c>
      <c r="L465" s="3">
        <v>40148.06</v>
      </c>
      <c r="M465" s="3">
        <v>31053.7</v>
      </c>
      <c r="N465" s="8">
        <v>31570.61</v>
      </c>
      <c r="O465" s="3">
        <v>32073.115000000002</v>
      </c>
      <c r="P465" s="8">
        <v>39165.002500000002</v>
      </c>
      <c r="Q465" s="28">
        <f t="shared" si="7"/>
        <v>356190.58750000002</v>
      </c>
    </row>
    <row r="466" spans="1:17" ht="15" customHeight="1" x14ac:dyDescent="0.2">
      <c r="A466" s="1">
        <v>639</v>
      </c>
      <c r="B466" s="7" t="s">
        <v>61</v>
      </c>
      <c r="C466" s="7" t="s">
        <v>77</v>
      </c>
      <c r="D466" s="26" t="s">
        <v>7</v>
      </c>
      <c r="E466" s="2"/>
      <c r="F466" s="2" t="s">
        <v>7</v>
      </c>
      <c r="G466" s="3">
        <v>405561</v>
      </c>
      <c r="H466" s="3">
        <v>449012</v>
      </c>
      <c r="I466" s="3">
        <v>405269</v>
      </c>
      <c r="J466" s="3">
        <v>448885</v>
      </c>
      <c r="K466" s="3">
        <v>404936</v>
      </c>
      <c r="L466" s="3">
        <v>448733.01</v>
      </c>
      <c r="M466" s="3">
        <v>404517</v>
      </c>
      <c r="N466" s="8">
        <v>448468</v>
      </c>
      <c r="O466" s="3">
        <v>405070.75</v>
      </c>
      <c r="P466" s="8">
        <v>448774.5025</v>
      </c>
      <c r="Q466" s="28">
        <f t="shared" si="7"/>
        <v>4269226.2625000002</v>
      </c>
    </row>
    <row r="467" spans="1:17" ht="15" customHeight="1" x14ac:dyDescent="0.2">
      <c r="A467" s="1">
        <v>641</v>
      </c>
      <c r="B467" s="7" t="s">
        <v>61</v>
      </c>
      <c r="C467" s="7" t="s">
        <v>77</v>
      </c>
      <c r="D467" s="5"/>
      <c r="E467" s="2" t="s">
        <v>8</v>
      </c>
      <c r="F467" s="2" t="s">
        <v>8</v>
      </c>
      <c r="G467" s="3">
        <v>15047.85</v>
      </c>
      <c r="H467" s="3">
        <v>16146.93</v>
      </c>
      <c r="I467" s="3">
        <v>4387.92</v>
      </c>
      <c r="J467" s="3">
        <v>7869.76</v>
      </c>
      <c r="K467" s="3">
        <v>0</v>
      </c>
      <c r="L467" s="3">
        <v>166.49</v>
      </c>
      <c r="M467" s="3">
        <v>1544.1</v>
      </c>
      <c r="N467" s="8">
        <v>599.9</v>
      </c>
      <c r="O467" s="3">
        <v>5244.9674999999997</v>
      </c>
      <c r="P467" s="8">
        <v>6195.7700000000013</v>
      </c>
      <c r="Q467" s="28">
        <f t="shared" si="7"/>
        <v>57203.6875</v>
      </c>
    </row>
    <row r="468" spans="1:17" ht="15" customHeight="1" x14ac:dyDescent="0.2">
      <c r="A468" s="1">
        <v>643</v>
      </c>
      <c r="B468" s="7" t="s">
        <v>61</v>
      </c>
      <c r="C468" s="7" t="s">
        <v>77</v>
      </c>
      <c r="D468" s="5"/>
      <c r="E468" s="5"/>
      <c r="F468" s="2" t="s">
        <v>9</v>
      </c>
      <c r="G468" s="3">
        <v>285608.90000000002</v>
      </c>
      <c r="H468" s="3">
        <v>242484.91</v>
      </c>
      <c r="I468" s="3">
        <v>293126.27</v>
      </c>
      <c r="J468" s="3">
        <v>238721.62</v>
      </c>
      <c r="K468" s="3">
        <v>309436</v>
      </c>
      <c r="L468" s="3">
        <v>272978.59999999998</v>
      </c>
      <c r="M468" s="3">
        <v>309608.40999999997</v>
      </c>
      <c r="N468" s="8">
        <v>255987.46</v>
      </c>
      <c r="O468" s="3">
        <v>299444.89500000002</v>
      </c>
      <c r="P468" s="8">
        <v>252543.14749999999</v>
      </c>
      <c r="Q468" s="28">
        <f t="shared" si="7"/>
        <v>2759940.2125000004</v>
      </c>
    </row>
    <row r="469" spans="1:17" ht="15" customHeight="1" x14ac:dyDescent="0.2">
      <c r="A469" s="1">
        <v>644</v>
      </c>
      <c r="B469" s="7" t="s">
        <v>61</v>
      </c>
      <c r="C469" s="7" t="s">
        <v>77</v>
      </c>
      <c r="D469" s="5"/>
      <c r="E469" s="5"/>
      <c r="F469" s="2" t="s">
        <v>10</v>
      </c>
      <c r="G469" s="3">
        <v>2071.14</v>
      </c>
      <c r="H469" s="3">
        <v>2687.95</v>
      </c>
      <c r="I469" s="3">
        <v>1624.49</v>
      </c>
      <c r="J469" s="3">
        <v>0</v>
      </c>
      <c r="K469" s="3">
        <v>1345.23</v>
      </c>
      <c r="L469" s="3">
        <v>5318.75</v>
      </c>
      <c r="M469" s="3">
        <v>1037.8399999999999</v>
      </c>
      <c r="N469" s="8">
        <v>1593.14</v>
      </c>
      <c r="O469" s="3">
        <v>1519.6750000000002</v>
      </c>
      <c r="P469" s="8">
        <v>2399.96</v>
      </c>
      <c r="Q469" s="28">
        <f t="shared" si="7"/>
        <v>19598.174999999999</v>
      </c>
    </row>
    <row r="470" spans="1:17" ht="15" customHeight="1" x14ac:dyDescent="0.2">
      <c r="A470" s="1">
        <v>646</v>
      </c>
      <c r="B470" s="7" t="s">
        <v>61</v>
      </c>
      <c r="C470" s="7" t="s">
        <v>77</v>
      </c>
      <c r="D470" s="7"/>
      <c r="E470" s="2" t="s">
        <v>11</v>
      </c>
      <c r="F470" s="2" t="s">
        <v>11</v>
      </c>
      <c r="G470" s="3">
        <v>1980.56</v>
      </c>
      <c r="H470" s="3">
        <v>56438.31</v>
      </c>
      <c r="I470" s="3">
        <v>4296.51</v>
      </c>
      <c r="J470" s="3">
        <v>64644.34</v>
      </c>
      <c r="K470" s="3">
        <v>2640.09</v>
      </c>
      <c r="L470" s="3">
        <v>50997.42</v>
      </c>
      <c r="M470" s="3">
        <v>4839.37</v>
      </c>
      <c r="N470" s="8">
        <v>69356.820000000007</v>
      </c>
      <c r="O470" s="3">
        <v>3439.1324999999997</v>
      </c>
      <c r="P470" s="8">
        <v>60359.222500000003</v>
      </c>
      <c r="Q470" s="28">
        <f t="shared" si="7"/>
        <v>318991.77500000002</v>
      </c>
    </row>
    <row r="471" spans="1:17" ht="15" customHeight="1" x14ac:dyDescent="0.2">
      <c r="A471" s="1">
        <v>647</v>
      </c>
      <c r="B471" s="7" t="s">
        <v>61</v>
      </c>
      <c r="C471" s="7" t="s">
        <v>77</v>
      </c>
      <c r="D471" s="5"/>
      <c r="E471" s="2" t="s">
        <v>12</v>
      </c>
      <c r="F471" s="2" t="s">
        <v>12</v>
      </c>
      <c r="G471" s="3">
        <v>7737.19</v>
      </c>
      <c r="H471" s="3">
        <v>22574.240000000002</v>
      </c>
      <c r="I471" s="3">
        <v>9281.49</v>
      </c>
      <c r="J471" s="3">
        <v>21142.89</v>
      </c>
      <c r="K471" s="3">
        <v>9301.7999999999993</v>
      </c>
      <c r="L471" s="3">
        <v>12992.83</v>
      </c>
      <c r="M471" s="3">
        <v>7948.29</v>
      </c>
      <c r="N471" s="8">
        <v>18115.41</v>
      </c>
      <c r="O471" s="3">
        <v>8567.1924999999992</v>
      </c>
      <c r="P471" s="8">
        <v>18706.342500000002</v>
      </c>
      <c r="Q471" s="28">
        <f t="shared" si="7"/>
        <v>136367.67500000002</v>
      </c>
    </row>
    <row r="472" spans="1:17" ht="15" customHeight="1" x14ac:dyDescent="0.2">
      <c r="A472" s="1">
        <v>648</v>
      </c>
      <c r="B472" s="7" t="s">
        <v>61</v>
      </c>
      <c r="C472" s="7" t="s">
        <v>77</v>
      </c>
      <c r="D472" s="5"/>
      <c r="E472" s="2" t="s">
        <v>13</v>
      </c>
      <c r="F472" s="2" t="s">
        <v>13</v>
      </c>
      <c r="G472" s="3">
        <v>54293.94</v>
      </c>
      <c r="H472" s="3">
        <v>65996.179999999993</v>
      </c>
      <c r="I472" s="3">
        <v>54901.84</v>
      </c>
      <c r="J472" s="3">
        <v>74293.429999999993</v>
      </c>
      <c r="K472" s="3">
        <v>44554.6</v>
      </c>
      <c r="L472" s="3">
        <v>60319.94</v>
      </c>
      <c r="M472" s="3">
        <v>44261.1</v>
      </c>
      <c r="N472" s="8">
        <v>58389.919999999998</v>
      </c>
      <c r="O472" s="3">
        <v>49502.87</v>
      </c>
      <c r="P472" s="8">
        <v>64749.867499999993</v>
      </c>
      <c r="Q472" s="28">
        <f t="shared" si="7"/>
        <v>571263.6875</v>
      </c>
    </row>
    <row r="473" spans="1:17" ht="15" customHeight="1" x14ac:dyDescent="0.2">
      <c r="A473" s="1">
        <v>649</v>
      </c>
      <c r="B473" s="7" t="s">
        <v>61</v>
      </c>
      <c r="C473" s="7" t="s">
        <v>77</v>
      </c>
      <c r="D473" s="5"/>
      <c r="E473" s="2" t="s">
        <v>14</v>
      </c>
      <c r="F473" s="2" t="s">
        <v>14</v>
      </c>
      <c r="G473" s="3">
        <v>38821.410000000003</v>
      </c>
      <c r="H473" s="3">
        <v>42683.49</v>
      </c>
      <c r="I473" s="3">
        <v>37650.47</v>
      </c>
      <c r="J473" s="3">
        <v>42212.959999999999</v>
      </c>
      <c r="K473" s="3">
        <v>37658.29</v>
      </c>
      <c r="L473" s="3">
        <v>45958.99</v>
      </c>
      <c r="M473" s="3">
        <v>35277.879999999997</v>
      </c>
      <c r="N473" s="8">
        <v>44425.35</v>
      </c>
      <c r="O473" s="3">
        <v>37352.012500000004</v>
      </c>
      <c r="P473" s="8">
        <v>43820.197500000002</v>
      </c>
      <c r="Q473" s="28">
        <f t="shared" si="7"/>
        <v>405861.05</v>
      </c>
    </row>
    <row r="474" spans="1:17" ht="15" customHeight="1" x14ac:dyDescent="0.2">
      <c r="A474" s="1">
        <v>650</v>
      </c>
      <c r="B474" s="7" t="s">
        <v>61</v>
      </c>
      <c r="C474" s="7" t="s">
        <v>78</v>
      </c>
      <c r="D474" s="26" t="s">
        <v>7</v>
      </c>
      <c r="E474" s="2"/>
      <c r="F474" s="2" t="s">
        <v>7</v>
      </c>
      <c r="G474" s="3">
        <v>304398</v>
      </c>
      <c r="H474" s="3">
        <v>337029</v>
      </c>
      <c r="I474" s="3">
        <v>304190</v>
      </c>
      <c r="J474" s="3">
        <v>336953</v>
      </c>
      <c r="K474" s="3">
        <v>303954</v>
      </c>
      <c r="L474" s="3">
        <v>336853</v>
      </c>
      <c r="M474" s="3">
        <v>303655</v>
      </c>
      <c r="N474" s="8">
        <v>336665</v>
      </c>
      <c r="O474" s="3">
        <v>304049.25</v>
      </c>
      <c r="P474" s="8">
        <v>336875</v>
      </c>
      <c r="Q474" s="28">
        <f t="shared" si="7"/>
        <v>3204621.25</v>
      </c>
    </row>
    <row r="475" spans="1:17" ht="15" customHeight="1" x14ac:dyDescent="0.2">
      <c r="A475" s="1">
        <v>652</v>
      </c>
      <c r="B475" s="7" t="s">
        <v>61</v>
      </c>
      <c r="C475" s="7" t="s">
        <v>78</v>
      </c>
      <c r="D475" s="7"/>
      <c r="E475" s="2" t="s">
        <v>8</v>
      </c>
      <c r="F475" s="2" t="s">
        <v>8</v>
      </c>
      <c r="G475" s="3">
        <v>184.21</v>
      </c>
      <c r="H475" s="3">
        <v>812.34</v>
      </c>
      <c r="I475" s="3">
        <v>2624.83</v>
      </c>
      <c r="J475" s="3">
        <v>346.46</v>
      </c>
      <c r="K475" s="3">
        <v>1294.7</v>
      </c>
      <c r="L475" s="3">
        <v>0</v>
      </c>
      <c r="M475" s="3">
        <v>183.9</v>
      </c>
      <c r="N475" s="8">
        <v>0</v>
      </c>
      <c r="O475" s="3">
        <v>1071.9099999999999</v>
      </c>
      <c r="P475" s="8">
        <v>289.7</v>
      </c>
      <c r="Q475" s="28">
        <f t="shared" si="7"/>
        <v>6808.0499999999993</v>
      </c>
    </row>
    <row r="476" spans="1:17" ht="15" customHeight="1" x14ac:dyDescent="0.2">
      <c r="A476" s="1">
        <v>654</v>
      </c>
      <c r="B476" s="7" t="s">
        <v>61</v>
      </c>
      <c r="C476" s="7" t="s">
        <v>78</v>
      </c>
      <c r="D476" s="7"/>
      <c r="E476" s="7"/>
      <c r="F476" s="2" t="s">
        <v>9</v>
      </c>
      <c r="G476" s="3">
        <v>216248.41</v>
      </c>
      <c r="H476" s="3">
        <v>159523.92000000001</v>
      </c>
      <c r="I476" s="3">
        <v>213921.69</v>
      </c>
      <c r="J476" s="3">
        <v>158237.03</v>
      </c>
      <c r="K476" s="3">
        <v>218758.88</v>
      </c>
      <c r="L476" s="3">
        <v>182516.43</v>
      </c>
      <c r="M476" s="3">
        <v>218476.78</v>
      </c>
      <c r="N476" s="8">
        <v>171796.89</v>
      </c>
      <c r="O476" s="3">
        <v>216851.44</v>
      </c>
      <c r="P476" s="8">
        <v>168018.5675</v>
      </c>
      <c r="Q476" s="28">
        <f t="shared" si="7"/>
        <v>1924350.0375000001</v>
      </c>
    </row>
    <row r="477" spans="1:17" ht="15" customHeight="1" x14ac:dyDescent="0.2">
      <c r="A477" s="1">
        <v>655</v>
      </c>
      <c r="B477" s="7" t="s">
        <v>61</v>
      </c>
      <c r="C477" s="7" t="s">
        <v>78</v>
      </c>
      <c r="D477" s="5"/>
      <c r="E477" s="7"/>
      <c r="F477" s="2" t="s">
        <v>10</v>
      </c>
      <c r="G477" s="3">
        <v>1518.26</v>
      </c>
      <c r="H477" s="3">
        <v>357.86</v>
      </c>
      <c r="I477" s="3">
        <v>0</v>
      </c>
      <c r="J477" s="3">
        <v>700.24</v>
      </c>
      <c r="K477" s="3">
        <v>0</v>
      </c>
      <c r="L477" s="3">
        <v>911.79</v>
      </c>
      <c r="M477" s="3">
        <v>363.7</v>
      </c>
      <c r="N477" s="8">
        <v>392.37</v>
      </c>
      <c r="O477" s="3">
        <v>470.49</v>
      </c>
      <c r="P477" s="8">
        <v>590.56499999999994</v>
      </c>
      <c r="Q477" s="28">
        <f t="shared" si="7"/>
        <v>5305.2749999999987</v>
      </c>
    </row>
    <row r="478" spans="1:17" ht="15" customHeight="1" x14ac:dyDescent="0.2">
      <c r="A478" s="1">
        <v>657</v>
      </c>
      <c r="B478" s="7" t="s">
        <v>61</v>
      </c>
      <c r="C478" s="7" t="s">
        <v>78</v>
      </c>
      <c r="D478" s="5"/>
      <c r="E478" s="2" t="s">
        <v>11</v>
      </c>
      <c r="F478" s="2" t="s">
        <v>11</v>
      </c>
      <c r="G478" s="3">
        <v>8667.4</v>
      </c>
      <c r="H478" s="3">
        <v>98306.02</v>
      </c>
      <c r="I478" s="3">
        <v>9560.6</v>
      </c>
      <c r="J478" s="3">
        <v>95724.5</v>
      </c>
      <c r="K478" s="3">
        <v>7292.62</v>
      </c>
      <c r="L478" s="3">
        <v>81192.179999999993</v>
      </c>
      <c r="M478" s="3">
        <v>11103.06</v>
      </c>
      <c r="N478" s="8">
        <v>93004.01</v>
      </c>
      <c r="O478" s="3">
        <v>9155.92</v>
      </c>
      <c r="P478" s="8">
        <v>92056.677500000005</v>
      </c>
      <c r="Q478" s="28">
        <f t="shared" si="7"/>
        <v>506062.98749999999</v>
      </c>
    </row>
    <row r="479" spans="1:17" ht="15" customHeight="1" x14ac:dyDescent="0.2">
      <c r="A479" s="1">
        <v>658</v>
      </c>
      <c r="B479" s="7" t="s">
        <v>61</v>
      </c>
      <c r="C479" s="7" t="s">
        <v>78</v>
      </c>
      <c r="D479" s="5"/>
      <c r="E479" s="26" t="s">
        <v>12</v>
      </c>
      <c r="F479" s="2" t="s">
        <v>12</v>
      </c>
      <c r="G479" s="3">
        <v>10641.29</v>
      </c>
      <c r="H479" s="3">
        <v>8898.58</v>
      </c>
      <c r="I479" s="3">
        <v>8918.2800000000007</v>
      </c>
      <c r="J479" s="3">
        <v>10194.07</v>
      </c>
      <c r="K479" s="3">
        <v>12416.1</v>
      </c>
      <c r="L479" s="3">
        <v>7268.06</v>
      </c>
      <c r="M479" s="3">
        <v>11309.85</v>
      </c>
      <c r="N479" s="8">
        <v>6144.32</v>
      </c>
      <c r="O479" s="3">
        <v>10821.38</v>
      </c>
      <c r="P479" s="8">
        <v>8126.2575000000006</v>
      </c>
      <c r="Q479" s="28">
        <f t="shared" si="7"/>
        <v>94738.1875</v>
      </c>
    </row>
    <row r="480" spans="1:17" ht="15" customHeight="1" x14ac:dyDescent="0.2">
      <c r="A480" s="1">
        <v>659</v>
      </c>
      <c r="B480" s="7" t="s">
        <v>61</v>
      </c>
      <c r="C480" s="7" t="s">
        <v>78</v>
      </c>
      <c r="D480" s="5"/>
      <c r="E480" s="26" t="s">
        <v>13</v>
      </c>
      <c r="F480" s="2" t="s">
        <v>13</v>
      </c>
      <c r="G480" s="3">
        <v>35945.730000000003</v>
      </c>
      <c r="H480" s="3">
        <v>39329.339999999997</v>
      </c>
      <c r="I480" s="3">
        <v>38159.089999999997</v>
      </c>
      <c r="J480" s="3">
        <v>40979.199999999997</v>
      </c>
      <c r="K480" s="3">
        <v>32292.68</v>
      </c>
      <c r="L480" s="3">
        <v>34382.93</v>
      </c>
      <c r="M480" s="3">
        <v>33296.75</v>
      </c>
      <c r="N480" s="8">
        <v>35213.25</v>
      </c>
      <c r="O480" s="3">
        <v>34923.5625</v>
      </c>
      <c r="P480" s="8">
        <v>37476.18</v>
      </c>
      <c r="Q480" s="28">
        <f t="shared" si="7"/>
        <v>361998.71249999997</v>
      </c>
    </row>
    <row r="481" spans="1:17" ht="15" customHeight="1" x14ac:dyDescent="0.2">
      <c r="A481" s="1">
        <v>660</v>
      </c>
      <c r="B481" s="7" t="s">
        <v>61</v>
      </c>
      <c r="C481" s="7" t="s">
        <v>78</v>
      </c>
      <c r="D481" s="7"/>
      <c r="E481" s="2" t="s">
        <v>14</v>
      </c>
      <c r="F481" s="2" t="s">
        <v>14</v>
      </c>
      <c r="G481" s="3">
        <v>31192.7</v>
      </c>
      <c r="H481" s="3">
        <v>29800.95</v>
      </c>
      <c r="I481" s="3">
        <v>31005.5</v>
      </c>
      <c r="J481" s="3">
        <v>30771.5</v>
      </c>
      <c r="K481" s="3">
        <v>31899.03</v>
      </c>
      <c r="L481" s="3">
        <v>30581.61</v>
      </c>
      <c r="M481" s="3">
        <v>28920.959999999999</v>
      </c>
      <c r="N481" s="8">
        <v>30114.16</v>
      </c>
      <c r="O481" s="3">
        <v>30754.547500000001</v>
      </c>
      <c r="P481" s="8">
        <v>30317.055</v>
      </c>
      <c r="Q481" s="28">
        <f t="shared" si="7"/>
        <v>305358.01249999995</v>
      </c>
    </row>
    <row r="482" spans="1:17" ht="15" customHeight="1" x14ac:dyDescent="0.2">
      <c r="A482" s="1">
        <v>661</v>
      </c>
      <c r="B482" s="7" t="s">
        <v>61</v>
      </c>
      <c r="C482" s="7" t="s">
        <v>79</v>
      </c>
      <c r="D482" s="26" t="s">
        <v>7</v>
      </c>
      <c r="E482" s="2"/>
      <c r="F482" s="2" t="s">
        <v>7</v>
      </c>
      <c r="G482" s="3">
        <v>353761</v>
      </c>
      <c r="H482" s="3">
        <v>391734</v>
      </c>
      <c r="I482" s="3">
        <v>353629</v>
      </c>
      <c r="J482" s="3">
        <v>391768</v>
      </c>
      <c r="K482" s="3">
        <v>353464</v>
      </c>
      <c r="L482" s="3">
        <v>391770</v>
      </c>
      <c r="M482" s="3">
        <v>353220</v>
      </c>
      <c r="N482" s="8">
        <v>391674</v>
      </c>
      <c r="O482" s="3">
        <v>353518.5</v>
      </c>
      <c r="P482" s="8">
        <v>391736.5</v>
      </c>
      <c r="Q482" s="28">
        <f t="shared" si="7"/>
        <v>3726275</v>
      </c>
    </row>
    <row r="483" spans="1:17" ht="15" customHeight="1" x14ac:dyDescent="0.2">
      <c r="A483" s="1">
        <v>663</v>
      </c>
      <c r="B483" s="7" t="s">
        <v>61</v>
      </c>
      <c r="C483" s="7" t="s">
        <v>79</v>
      </c>
      <c r="D483" s="5"/>
      <c r="E483" s="2" t="s">
        <v>8</v>
      </c>
      <c r="F483" s="2" t="s">
        <v>8</v>
      </c>
      <c r="G483" s="3">
        <v>13198.9</v>
      </c>
      <c r="H483" s="3">
        <v>5715.15</v>
      </c>
      <c r="I483" s="3">
        <v>4953.78</v>
      </c>
      <c r="J483" s="3">
        <v>1065.44</v>
      </c>
      <c r="K483" s="3">
        <v>5883.5</v>
      </c>
      <c r="L483" s="3">
        <v>3184.11</v>
      </c>
      <c r="M483" s="3">
        <v>13337.68</v>
      </c>
      <c r="N483" s="8">
        <v>9220.32</v>
      </c>
      <c r="O483" s="3">
        <v>9343.4650000000001</v>
      </c>
      <c r="P483" s="8">
        <v>4796.2550000000001</v>
      </c>
      <c r="Q483" s="28">
        <f t="shared" si="7"/>
        <v>70698.600000000006</v>
      </c>
    </row>
    <row r="484" spans="1:17" ht="15" customHeight="1" x14ac:dyDescent="0.2">
      <c r="A484" s="1">
        <v>665</v>
      </c>
      <c r="B484" s="7" t="s">
        <v>61</v>
      </c>
      <c r="C484" s="7" t="s">
        <v>79</v>
      </c>
      <c r="D484" s="5"/>
      <c r="E484" s="7"/>
      <c r="F484" s="2" t="s">
        <v>9</v>
      </c>
      <c r="G484" s="3">
        <v>229235.51</v>
      </c>
      <c r="H484" s="3">
        <v>154752.47</v>
      </c>
      <c r="I484" s="3">
        <v>253989.18</v>
      </c>
      <c r="J484" s="3">
        <v>195684.79</v>
      </c>
      <c r="K484" s="3">
        <v>253036.16</v>
      </c>
      <c r="L484" s="3">
        <v>194596.62</v>
      </c>
      <c r="M484" s="3">
        <v>242613.7</v>
      </c>
      <c r="N484" s="8">
        <v>182407.64</v>
      </c>
      <c r="O484" s="3">
        <v>244718.63750000001</v>
      </c>
      <c r="P484" s="8">
        <v>181860.38</v>
      </c>
      <c r="Q484" s="28">
        <f t="shared" si="7"/>
        <v>2132895.0874999999</v>
      </c>
    </row>
    <row r="485" spans="1:17" ht="15" customHeight="1" x14ac:dyDescent="0.2">
      <c r="A485" s="1">
        <v>666</v>
      </c>
      <c r="B485" s="7" t="s">
        <v>61</v>
      </c>
      <c r="C485" s="7" t="s">
        <v>79</v>
      </c>
      <c r="D485" s="5"/>
      <c r="E485" s="7"/>
      <c r="F485" s="2" t="s">
        <v>10</v>
      </c>
      <c r="G485" s="3">
        <v>3486.28</v>
      </c>
      <c r="H485" s="3">
        <v>523.52</v>
      </c>
      <c r="I485" s="3">
        <v>454.57</v>
      </c>
      <c r="J485" s="3">
        <v>993.76</v>
      </c>
      <c r="K485" s="3">
        <v>319.87</v>
      </c>
      <c r="L485" s="3">
        <v>0</v>
      </c>
      <c r="M485" s="3">
        <v>0</v>
      </c>
      <c r="N485" s="8">
        <v>0</v>
      </c>
      <c r="O485" s="3">
        <v>1065.18</v>
      </c>
      <c r="P485" s="8">
        <v>379.32</v>
      </c>
      <c r="Q485" s="28">
        <f t="shared" si="7"/>
        <v>7222.5</v>
      </c>
    </row>
    <row r="486" spans="1:17" ht="15" customHeight="1" x14ac:dyDescent="0.2">
      <c r="A486" s="1">
        <v>668</v>
      </c>
      <c r="B486" s="7" t="s">
        <v>61</v>
      </c>
      <c r="C486" s="7" t="s">
        <v>79</v>
      </c>
      <c r="D486" s="7"/>
      <c r="E486" s="2" t="s">
        <v>11</v>
      </c>
      <c r="F486" s="2" t="s">
        <v>11</v>
      </c>
      <c r="G486" s="3">
        <v>3466.24</v>
      </c>
      <c r="H486" s="3">
        <v>110482.41</v>
      </c>
      <c r="I486" s="3">
        <v>1683.36</v>
      </c>
      <c r="J486" s="3">
        <v>81972.72</v>
      </c>
      <c r="K486" s="3">
        <v>1264.31</v>
      </c>
      <c r="L486" s="3">
        <v>72799.14</v>
      </c>
      <c r="M486" s="3">
        <v>828.76</v>
      </c>
      <c r="N486" s="8">
        <v>83815.44</v>
      </c>
      <c r="O486" s="3">
        <v>1810.6675</v>
      </c>
      <c r="P486" s="8">
        <v>87267.427500000005</v>
      </c>
      <c r="Q486" s="28">
        <f t="shared" si="7"/>
        <v>445390.47499999998</v>
      </c>
    </row>
    <row r="487" spans="1:17" ht="15" customHeight="1" x14ac:dyDescent="0.2">
      <c r="A487" s="1">
        <v>669</v>
      </c>
      <c r="B487" s="7" t="s">
        <v>61</v>
      </c>
      <c r="C487" s="7" t="s">
        <v>79</v>
      </c>
      <c r="D487" s="7"/>
      <c r="E487" s="2" t="s">
        <v>12</v>
      </c>
      <c r="F487" s="2" t="s">
        <v>12</v>
      </c>
      <c r="G487" s="3">
        <v>29320.49</v>
      </c>
      <c r="H487" s="3">
        <v>21490.83</v>
      </c>
      <c r="I487" s="3">
        <v>22222.83</v>
      </c>
      <c r="J487" s="3">
        <v>15806.74</v>
      </c>
      <c r="K487" s="3">
        <v>14439.51</v>
      </c>
      <c r="L487" s="3">
        <v>19887.04</v>
      </c>
      <c r="M487" s="3">
        <v>16271.32</v>
      </c>
      <c r="N487" s="8">
        <v>17694.89</v>
      </c>
      <c r="O487" s="3">
        <v>20563.537499999999</v>
      </c>
      <c r="P487" s="8">
        <v>18719.875</v>
      </c>
      <c r="Q487" s="28">
        <f t="shared" si="7"/>
        <v>196417.06250000003</v>
      </c>
    </row>
    <row r="488" spans="1:17" ht="15" customHeight="1" x14ac:dyDescent="0.2">
      <c r="A488" s="1">
        <v>670</v>
      </c>
      <c r="B488" s="7" t="s">
        <v>61</v>
      </c>
      <c r="C488" s="7" t="s">
        <v>79</v>
      </c>
      <c r="D488" s="5"/>
      <c r="E488" s="2" t="s">
        <v>13</v>
      </c>
      <c r="F488" s="2" t="s">
        <v>13</v>
      </c>
      <c r="G488" s="3">
        <v>42416.5</v>
      </c>
      <c r="H488" s="3">
        <v>57974.080000000002</v>
      </c>
      <c r="I488" s="3">
        <v>34785.46</v>
      </c>
      <c r="J488" s="3">
        <v>56030.75</v>
      </c>
      <c r="K488" s="3">
        <v>40707.9</v>
      </c>
      <c r="L488" s="3">
        <v>59272.09</v>
      </c>
      <c r="M488" s="3">
        <v>44279.28</v>
      </c>
      <c r="N488" s="8">
        <v>57674.92</v>
      </c>
      <c r="O488" s="3">
        <v>40547.284999999996</v>
      </c>
      <c r="P488" s="8">
        <v>57737.959999999992</v>
      </c>
      <c r="Q488" s="28">
        <f t="shared" si="7"/>
        <v>491426.22499999998</v>
      </c>
    </row>
    <row r="489" spans="1:17" ht="15" customHeight="1" x14ac:dyDescent="0.2">
      <c r="A489" s="1">
        <v>671</v>
      </c>
      <c r="B489" s="7" t="s">
        <v>61</v>
      </c>
      <c r="C489" s="7" t="s">
        <v>79</v>
      </c>
      <c r="D489" s="5"/>
      <c r="E489" s="2" t="s">
        <v>14</v>
      </c>
      <c r="F489" s="2" t="s">
        <v>14</v>
      </c>
      <c r="G489" s="3">
        <v>32637.08</v>
      </c>
      <c r="H489" s="3">
        <v>40795.550000000003</v>
      </c>
      <c r="I489" s="3">
        <v>35539.81</v>
      </c>
      <c r="J489" s="3">
        <v>40213.800000000003</v>
      </c>
      <c r="K489" s="3">
        <v>37812.75</v>
      </c>
      <c r="L489" s="3">
        <v>42031</v>
      </c>
      <c r="M489" s="3">
        <v>35889.26</v>
      </c>
      <c r="N489" s="8">
        <v>40860.79</v>
      </c>
      <c r="O489" s="3">
        <v>35469.724999999999</v>
      </c>
      <c r="P489" s="8">
        <v>40975.285000000003</v>
      </c>
      <c r="Q489" s="28">
        <f t="shared" si="7"/>
        <v>382225.04999999993</v>
      </c>
    </row>
    <row r="490" spans="1:17" ht="15" customHeight="1" x14ac:dyDescent="0.2">
      <c r="A490" s="1">
        <v>672</v>
      </c>
      <c r="B490" s="7" t="s">
        <v>61</v>
      </c>
      <c r="C490" s="7" t="s">
        <v>80</v>
      </c>
      <c r="D490" s="26" t="s">
        <v>7</v>
      </c>
      <c r="E490" s="26"/>
      <c r="F490" s="2" t="s">
        <v>7</v>
      </c>
      <c r="G490" s="3">
        <v>210978</v>
      </c>
      <c r="H490" s="3">
        <v>233603</v>
      </c>
      <c r="I490" s="3">
        <v>210706</v>
      </c>
      <c r="J490" s="3">
        <v>233413</v>
      </c>
      <c r="K490" s="3">
        <v>210421</v>
      </c>
      <c r="L490" s="3">
        <v>233207</v>
      </c>
      <c r="M490" s="3">
        <v>210086</v>
      </c>
      <c r="N490" s="8">
        <v>232945</v>
      </c>
      <c r="O490" s="3">
        <v>210547.75</v>
      </c>
      <c r="P490" s="8">
        <v>233292</v>
      </c>
      <c r="Q490" s="28">
        <f t="shared" si="7"/>
        <v>2219198.75</v>
      </c>
    </row>
    <row r="491" spans="1:17" ht="15" customHeight="1" x14ac:dyDescent="0.2">
      <c r="A491" s="1">
        <v>674</v>
      </c>
      <c r="B491" s="7" t="s">
        <v>61</v>
      </c>
      <c r="C491" s="7" t="s">
        <v>80</v>
      </c>
      <c r="D491" s="5"/>
      <c r="E491" s="26" t="s">
        <v>8</v>
      </c>
      <c r="F491" s="2" t="s">
        <v>8</v>
      </c>
      <c r="G491" s="3">
        <v>4350.43</v>
      </c>
      <c r="H491" s="3">
        <v>3798.95</v>
      </c>
      <c r="I491" s="3">
        <v>2492.54</v>
      </c>
      <c r="J491" s="3">
        <v>1292.68</v>
      </c>
      <c r="K491" s="3">
        <v>0</v>
      </c>
      <c r="L491" s="3">
        <v>0</v>
      </c>
      <c r="M491" s="3">
        <v>41.64</v>
      </c>
      <c r="N491" s="8">
        <v>323.35000000000002</v>
      </c>
      <c r="O491" s="3">
        <v>1721.1525000000001</v>
      </c>
      <c r="P491" s="8">
        <v>1353.7450000000001</v>
      </c>
      <c r="Q491" s="28">
        <f t="shared" si="7"/>
        <v>15374.487500000001</v>
      </c>
    </row>
    <row r="492" spans="1:17" ht="15" customHeight="1" x14ac:dyDescent="0.2">
      <c r="A492" s="1">
        <v>676</v>
      </c>
      <c r="B492" s="7" t="s">
        <v>61</v>
      </c>
      <c r="C492" s="7" t="s">
        <v>80</v>
      </c>
      <c r="D492" s="7"/>
      <c r="E492" s="7"/>
      <c r="F492" s="2" t="s">
        <v>9</v>
      </c>
      <c r="G492" s="3">
        <v>142305.82</v>
      </c>
      <c r="H492" s="3">
        <v>112288.09</v>
      </c>
      <c r="I492" s="3">
        <v>151338.93</v>
      </c>
      <c r="J492" s="3">
        <v>120757.56</v>
      </c>
      <c r="K492" s="3">
        <v>157112.79999999999</v>
      </c>
      <c r="L492" s="3">
        <v>130972.75</v>
      </c>
      <c r="M492" s="3">
        <v>146657.60000000001</v>
      </c>
      <c r="N492" s="8">
        <v>130841.58</v>
      </c>
      <c r="O492" s="3">
        <v>149353.78750000001</v>
      </c>
      <c r="P492" s="8">
        <v>123714.99500000001</v>
      </c>
      <c r="Q492" s="28">
        <f t="shared" si="7"/>
        <v>1365343.9125000001</v>
      </c>
    </row>
    <row r="493" spans="1:17" ht="15" customHeight="1" x14ac:dyDescent="0.2">
      <c r="A493" s="1">
        <v>677</v>
      </c>
      <c r="B493" s="7" t="s">
        <v>61</v>
      </c>
      <c r="C493" s="7" t="s">
        <v>80</v>
      </c>
      <c r="D493" s="5"/>
      <c r="E493" s="7"/>
      <c r="F493" s="2" t="s">
        <v>10</v>
      </c>
      <c r="G493" s="3">
        <v>1812.01</v>
      </c>
      <c r="H493" s="3">
        <v>2072.34</v>
      </c>
      <c r="I493" s="3">
        <v>1521.3</v>
      </c>
      <c r="J493" s="3">
        <v>1559.09</v>
      </c>
      <c r="K493" s="3">
        <v>1292.6300000000001</v>
      </c>
      <c r="L493" s="3">
        <v>0</v>
      </c>
      <c r="M493" s="3">
        <v>2081.9699999999998</v>
      </c>
      <c r="N493" s="8">
        <v>1396.94</v>
      </c>
      <c r="O493" s="3">
        <v>1676.9775</v>
      </c>
      <c r="P493" s="8">
        <v>1257.0925000000002</v>
      </c>
      <c r="Q493" s="28">
        <f t="shared" si="7"/>
        <v>14670.35</v>
      </c>
    </row>
    <row r="494" spans="1:17" ht="15" customHeight="1" x14ac:dyDescent="0.2">
      <c r="A494" s="1">
        <v>679</v>
      </c>
      <c r="B494" s="7" t="s">
        <v>61</v>
      </c>
      <c r="C494" s="7" t="s">
        <v>80</v>
      </c>
      <c r="D494" s="5"/>
      <c r="E494" s="2" t="s">
        <v>11</v>
      </c>
      <c r="F494" s="2" t="s">
        <v>11</v>
      </c>
      <c r="G494" s="3">
        <v>4997.91</v>
      </c>
      <c r="H494" s="3">
        <v>46800.69</v>
      </c>
      <c r="I494" s="3">
        <v>6416.5</v>
      </c>
      <c r="J494" s="3">
        <v>47418.37</v>
      </c>
      <c r="K494" s="3">
        <v>4874.24</v>
      </c>
      <c r="L494" s="3">
        <v>37993.050000000003</v>
      </c>
      <c r="M494" s="3">
        <v>8915.91</v>
      </c>
      <c r="N494" s="8">
        <v>35814.9</v>
      </c>
      <c r="O494" s="3">
        <v>6301.1399999999994</v>
      </c>
      <c r="P494" s="8">
        <v>42006.752499999995</v>
      </c>
      <c r="Q494" s="28">
        <f t="shared" si="7"/>
        <v>241539.46250000002</v>
      </c>
    </row>
    <row r="495" spans="1:17" ht="15" customHeight="1" x14ac:dyDescent="0.2">
      <c r="A495" s="1">
        <v>680</v>
      </c>
      <c r="B495" s="7" t="s">
        <v>61</v>
      </c>
      <c r="C495" s="7" t="s">
        <v>80</v>
      </c>
      <c r="D495" s="5"/>
      <c r="E495" s="2" t="s">
        <v>12</v>
      </c>
      <c r="F495" s="2" t="s">
        <v>12</v>
      </c>
      <c r="G495" s="3">
        <v>7125.33</v>
      </c>
      <c r="H495" s="3">
        <v>3288.51</v>
      </c>
      <c r="I495" s="3">
        <v>5413.24</v>
      </c>
      <c r="J495" s="3">
        <v>3104.72</v>
      </c>
      <c r="K495" s="3">
        <v>3608.93</v>
      </c>
      <c r="L495" s="3">
        <v>2724.41</v>
      </c>
      <c r="M495" s="3">
        <v>3457.36</v>
      </c>
      <c r="N495" s="8">
        <v>2915.63</v>
      </c>
      <c r="O495" s="3">
        <v>4901.2150000000001</v>
      </c>
      <c r="P495" s="8">
        <v>3008.3175000000001</v>
      </c>
      <c r="Q495" s="28">
        <f t="shared" si="7"/>
        <v>39547.662499999999</v>
      </c>
    </row>
    <row r="496" spans="1:17" ht="15" customHeight="1" x14ac:dyDescent="0.2">
      <c r="A496" s="1">
        <v>681</v>
      </c>
      <c r="B496" s="7" t="s">
        <v>61</v>
      </c>
      <c r="C496" s="7" t="s">
        <v>80</v>
      </c>
      <c r="D496" s="5"/>
      <c r="E496" s="2" t="s">
        <v>13</v>
      </c>
      <c r="F496" s="2" t="s">
        <v>13</v>
      </c>
      <c r="G496" s="3">
        <v>27981.97</v>
      </c>
      <c r="H496" s="3">
        <v>41189.58</v>
      </c>
      <c r="I496" s="3">
        <v>27132.79</v>
      </c>
      <c r="J496" s="3">
        <v>38495.61</v>
      </c>
      <c r="K496" s="3">
        <v>25838.99</v>
      </c>
      <c r="L496" s="3">
        <v>41600.589999999997</v>
      </c>
      <c r="M496" s="3">
        <v>30129.99</v>
      </c>
      <c r="N496" s="8">
        <v>42992.08</v>
      </c>
      <c r="O496" s="3">
        <v>27770.935000000001</v>
      </c>
      <c r="P496" s="8">
        <v>41069.464999999997</v>
      </c>
      <c r="Q496" s="28">
        <f t="shared" si="7"/>
        <v>344202</v>
      </c>
    </row>
    <row r="497" spans="1:17" ht="15" customHeight="1" x14ac:dyDescent="0.2">
      <c r="A497" s="1">
        <v>682</v>
      </c>
      <c r="B497" s="7" t="s">
        <v>61</v>
      </c>
      <c r="C497" s="7" t="s">
        <v>80</v>
      </c>
      <c r="D497" s="7"/>
      <c r="E497" s="2" t="s">
        <v>14</v>
      </c>
      <c r="F497" s="2" t="s">
        <v>14</v>
      </c>
      <c r="G497" s="3">
        <v>22404.54</v>
      </c>
      <c r="H497" s="3">
        <v>24164.83</v>
      </c>
      <c r="I497" s="3">
        <v>16390.71</v>
      </c>
      <c r="J497" s="3">
        <v>20784.98</v>
      </c>
      <c r="K497" s="3">
        <v>17693.41</v>
      </c>
      <c r="L497" s="3">
        <v>19916.2</v>
      </c>
      <c r="M497" s="3">
        <v>18801.54</v>
      </c>
      <c r="N497" s="8">
        <v>18660.53</v>
      </c>
      <c r="O497" s="3">
        <v>18822.550000000003</v>
      </c>
      <c r="P497" s="8">
        <v>20881.634999999998</v>
      </c>
      <c r="Q497" s="28">
        <f t="shared" si="7"/>
        <v>198520.92499999999</v>
      </c>
    </row>
    <row r="498" spans="1:17" ht="15" customHeight="1" x14ac:dyDescent="0.2">
      <c r="A498" s="1">
        <v>683</v>
      </c>
      <c r="B498" s="7" t="s">
        <v>61</v>
      </c>
      <c r="C498" s="7" t="s">
        <v>81</v>
      </c>
      <c r="D498" s="2" t="s">
        <v>7</v>
      </c>
      <c r="E498" s="2"/>
      <c r="F498" s="2" t="s">
        <v>7</v>
      </c>
      <c r="G498" s="3">
        <v>167451</v>
      </c>
      <c r="H498" s="3">
        <v>185403</v>
      </c>
      <c r="I498" s="3">
        <v>168045</v>
      </c>
      <c r="J498" s="3">
        <v>186154</v>
      </c>
      <c r="K498" s="3">
        <v>168620</v>
      </c>
      <c r="L498" s="3">
        <v>186877</v>
      </c>
      <c r="M498" s="3">
        <v>169136</v>
      </c>
      <c r="N498" s="8">
        <v>187532</v>
      </c>
      <c r="O498" s="3">
        <v>168313</v>
      </c>
      <c r="P498" s="8">
        <v>186491.5</v>
      </c>
      <c r="Q498" s="28">
        <f t="shared" si="7"/>
        <v>1774022.5</v>
      </c>
    </row>
    <row r="499" spans="1:17" ht="15" customHeight="1" x14ac:dyDescent="0.2">
      <c r="A499" s="1">
        <v>685</v>
      </c>
      <c r="B499" s="7" t="s">
        <v>61</v>
      </c>
      <c r="C499" s="7" t="s">
        <v>81</v>
      </c>
      <c r="D499" s="5"/>
      <c r="E499" s="2" t="s">
        <v>8</v>
      </c>
      <c r="F499" s="2" t="s">
        <v>8</v>
      </c>
      <c r="G499" s="3">
        <v>4439.54</v>
      </c>
      <c r="H499" s="3">
        <v>1798.38</v>
      </c>
      <c r="I499" s="3">
        <v>2062.31</v>
      </c>
      <c r="J499" s="3">
        <v>2954.97</v>
      </c>
      <c r="K499" s="3">
        <v>364.88</v>
      </c>
      <c r="L499" s="3">
        <v>527.70000000000005</v>
      </c>
      <c r="M499" s="3">
        <v>902.49</v>
      </c>
      <c r="N499" s="8">
        <v>437.63</v>
      </c>
      <c r="O499" s="3">
        <v>1942.3050000000001</v>
      </c>
      <c r="P499" s="8">
        <v>1429.67</v>
      </c>
      <c r="Q499" s="28">
        <f t="shared" si="7"/>
        <v>16859.875</v>
      </c>
    </row>
    <row r="500" spans="1:17" ht="15" customHeight="1" x14ac:dyDescent="0.2">
      <c r="A500" s="1">
        <v>687</v>
      </c>
      <c r="B500" s="7" t="s">
        <v>61</v>
      </c>
      <c r="C500" s="7" t="s">
        <v>81</v>
      </c>
      <c r="D500" s="5"/>
      <c r="E500" s="7"/>
      <c r="F500" s="2" t="s">
        <v>9</v>
      </c>
      <c r="G500" s="3">
        <v>120647.06</v>
      </c>
      <c r="H500" s="3">
        <v>102947.76</v>
      </c>
      <c r="I500" s="3">
        <v>120157.1</v>
      </c>
      <c r="J500" s="3">
        <v>100943.24</v>
      </c>
      <c r="K500" s="3">
        <v>125319.49</v>
      </c>
      <c r="L500" s="3">
        <v>112625.85</v>
      </c>
      <c r="M500" s="3">
        <v>129474.54</v>
      </c>
      <c r="N500" s="8">
        <v>115407.83</v>
      </c>
      <c r="O500" s="3">
        <v>123899.5475</v>
      </c>
      <c r="P500" s="8">
        <v>107981.17</v>
      </c>
      <c r="Q500" s="28">
        <f t="shared" si="7"/>
        <v>1159403.5874999999</v>
      </c>
    </row>
    <row r="501" spans="1:17" ht="15" customHeight="1" x14ac:dyDescent="0.2">
      <c r="A501" s="1">
        <v>688</v>
      </c>
      <c r="B501" s="7" t="s">
        <v>61</v>
      </c>
      <c r="C501" s="7" t="s">
        <v>81</v>
      </c>
      <c r="D501" s="5"/>
      <c r="E501" s="5"/>
      <c r="F501" s="2" t="s">
        <v>10</v>
      </c>
      <c r="G501" s="3">
        <v>960.4</v>
      </c>
      <c r="H501" s="3">
        <v>468.17</v>
      </c>
      <c r="I501" s="3">
        <v>1891.34</v>
      </c>
      <c r="J501" s="3">
        <v>2009.8</v>
      </c>
      <c r="K501" s="3">
        <v>666.21</v>
      </c>
      <c r="L501" s="3">
        <v>408.23</v>
      </c>
      <c r="M501" s="3">
        <v>646.67999999999995</v>
      </c>
      <c r="N501" s="8">
        <v>564.65</v>
      </c>
      <c r="O501" s="3">
        <v>1041.1575</v>
      </c>
      <c r="P501" s="8">
        <v>862.71249999999998</v>
      </c>
      <c r="Q501" s="28">
        <f t="shared" si="7"/>
        <v>9519.3499999999985</v>
      </c>
    </row>
    <row r="502" spans="1:17" ht="15" customHeight="1" x14ac:dyDescent="0.2">
      <c r="A502" s="1">
        <v>690</v>
      </c>
      <c r="B502" s="7" t="s">
        <v>61</v>
      </c>
      <c r="C502" s="7" t="s">
        <v>81</v>
      </c>
      <c r="D502" s="5"/>
      <c r="E502" s="26" t="s">
        <v>11</v>
      </c>
      <c r="F502" s="2" t="s">
        <v>11</v>
      </c>
      <c r="G502" s="3">
        <v>2749.58</v>
      </c>
      <c r="H502" s="3">
        <v>34462.67</v>
      </c>
      <c r="I502" s="3">
        <v>2411.5100000000002</v>
      </c>
      <c r="J502" s="3">
        <v>35736.449999999997</v>
      </c>
      <c r="K502" s="3">
        <v>1442.65</v>
      </c>
      <c r="L502" s="3">
        <v>24664.57</v>
      </c>
      <c r="M502" s="3">
        <v>1956.76</v>
      </c>
      <c r="N502" s="8">
        <v>21287.11</v>
      </c>
      <c r="O502" s="3">
        <v>2140.125</v>
      </c>
      <c r="P502" s="8">
        <v>29037.7</v>
      </c>
      <c r="Q502" s="28">
        <f t="shared" si="7"/>
        <v>155889.125</v>
      </c>
    </row>
    <row r="503" spans="1:17" ht="15" customHeight="1" x14ac:dyDescent="0.2">
      <c r="A503" s="1">
        <v>691</v>
      </c>
      <c r="B503" s="7" t="s">
        <v>61</v>
      </c>
      <c r="C503" s="7" t="s">
        <v>81</v>
      </c>
      <c r="D503" s="7"/>
      <c r="E503" s="2" t="s">
        <v>12</v>
      </c>
      <c r="F503" s="2" t="s">
        <v>12</v>
      </c>
      <c r="G503" s="3">
        <v>5410.09</v>
      </c>
      <c r="H503" s="3">
        <v>2797.48</v>
      </c>
      <c r="I503" s="3">
        <v>5611.48</v>
      </c>
      <c r="J503" s="3">
        <v>4618.68</v>
      </c>
      <c r="K503" s="3">
        <v>3896.86</v>
      </c>
      <c r="L503" s="3">
        <v>3091.08</v>
      </c>
      <c r="M503" s="3">
        <v>3527.04</v>
      </c>
      <c r="N503" s="8">
        <v>2879.99</v>
      </c>
      <c r="O503" s="3">
        <v>4611.3675000000003</v>
      </c>
      <c r="P503" s="8">
        <v>3346.8074999999999</v>
      </c>
      <c r="Q503" s="28">
        <f t="shared" si="7"/>
        <v>39790.875</v>
      </c>
    </row>
    <row r="504" spans="1:17" ht="15" customHeight="1" x14ac:dyDescent="0.2">
      <c r="A504" s="1">
        <v>692</v>
      </c>
      <c r="B504" s="7" t="s">
        <v>61</v>
      </c>
      <c r="C504" s="7" t="s">
        <v>81</v>
      </c>
      <c r="D504" s="5"/>
      <c r="E504" s="2" t="s">
        <v>13</v>
      </c>
      <c r="F504" s="2" t="s">
        <v>13</v>
      </c>
      <c r="G504" s="3">
        <v>21818.86</v>
      </c>
      <c r="H504" s="3">
        <v>27891</v>
      </c>
      <c r="I504" s="3">
        <v>25529.77</v>
      </c>
      <c r="J504" s="3">
        <v>27944.32</v>
      </c>
      <c r="K504" s="3">
        <v>23460.43</v>
      </c>
      <c r="L504" s="3">
        <v>32542.2</v>
      </c>
      <c r="M504" s="3">
        <v>20434.79</v>
      </c>
      <c r="N504" s="8">
        <v>32461.86</v>
      </c>
      <c r="O504" s="3">
        <v>22810.962500000001</v>
      </c>
      <c r="P504" s="8">
        <v>30209.845000000001</v>
      </c>
      <c r="Q504" s="28">
        <f t="shared" si="7"/>
        <v>265104.03750000003</v>
      </c>
    </row>
    <row r="505" spans="1:17" ht="15" customHeight="1" x14ac:dyDescent="0.2">
      <c r="A505" s="1">
        <v>693</v>
      </c>
      <c r="B505" s="7" t="s">
        <v>61</v>
      </c>
      <c r="C505" s="7" t="s">
        <v>81</v>
      </c>
      <c r="D505" s="5"/>
      <c r="E505" s="2" t="s">
        <v>14</v>
      </c>
      <c r="F505" s="2" t="s">
        <v>14</v>
      </c>
      <c r="G505" s="3">
        <v>11425.47</v>
      </c>
      <c r="H505" s="3">
        <v>15037.54</v>
      </c>
      <c r="I505" s="3">
        <v>10381.49</v>
      </c>
      <c r="J505" s="3">
        <v>11946.53</v>
      </c>
      <c r="K505" s="3">
        <v>13469.49</v>
      </c>
      <c r="L505" s="3">
        <v>13017.38</v>
      </c>
      <c r="M505" s="3">
        <v>12193.7</v>
      </c>
      <c r="N505" s="8">
        <v>14492.93</v>
      </c>
      <c r="O505" s="3">
        <v>11867.537499999999</v>
      </c>
      <c r="P505" s="8">
        <v>13623.594999999999</v>
      </c>
      <c r="Q505" s="28">
        <f t="shared" si="7"/>
        <v>127455.66250000001</v>
      </c>
    </row>
    <row r="506" spans="1:17" ht="15" customHeight="1" x14ac:dyDescent="0.2">
      <c r="A506" s="1">
        <v>694</v>
      </c>
      <c r="B506" s="7" t="s">
        <v>61</v>
      </c>
      <c r="C506" s="7" t="s">
        <v>82</v>
      </c>
      <c r="D506" s="26" t="s">
        <v>7</v>
      </c>
      <c r="E506" s="2"/>
      <c r="F506" s="2" t="s">
        <v>7</v>
      </c>
      <c r="G506" s="3">
        <v>581608</v>
      </c>
      <c r="H506" s="3">
        <v>629049</v>
      </c>
      <c r="I506" s="3">
        <v>582231</v>
      </c>
      <c r="J506" s="3">
        <v>629839.01</v>
      </c>
      <c r="K506" s="3">
        <v>582844</v>
      </c>
      <c r="L506" s="3">
        <v>630620</v>
      </c>
      <c r="M506" s="3">
        <v>583409</v>
      </c>
      <c r="N506" s="8">
        <v>631343</v>
      </c>
      <c r="O506" s="3">
        <v>582523</v>
      </c>
      <c r="P506" s="8">
        <v>630212.75249999994</v>
      </c>
      <c r="Q506" s="28">
        <f t="shared" si="7"/>
        <v>6063678.7624999993</v>
      </c>
    </row>
    <row r="507" spans="1:17" ht="15" customHeight="1" x14ac:dyDescent="0.2">
      <c r="A507" s="1">
        <v>696</v>
      </c>
      <c r="B507" s="7" t="s">
        <v>61</v>
      </c>
      <c r="C507" s="7" t="s">
        <v>82</v>
      </c>
      <c r="D507" s="5"/>
      <c r="E507" s="2" t="s">
        <v>8</v>
      </c>
      <c r="F507" s="2" t="s">
        <v>8</v>
      </c>
      <c r="G507" s="3">
        <v>0</v>
      </c>
      <c r="H507" s="3">
        <v>0</v>
      </c>
      <c r="I507" s="4">
        <v>0</v>
      </c>
      <c r="J507" s="4">
        <v>0</v>
      </c>
      <c r="K507" s="3">
        <v>0</v>
      </c>
      <c r="L507" s="3">
        <v>213.63</v>
      </c>
      <c r="M507" s="3">
        <v>0</v>
      </c>
      <c r="N507" s="8">
        <v>0</v>
      </c>
      <c r="O507" s="3">
        <v>0</v>
      </c>
      <c r="P507" s="8">
        <v>53.407499999999999</v>
      </c>
      <c r="Q507" s="28">
        <f t="shared" si="7"/>
        <v>267.03750000000002</v>
      </c>
    </row>
    <row r="508" spans="1:17" ht="15" customHeight="1" x14ac:dyDescent="0.2">
      <c r="A508" s="1">
        <v>698</v>
      </c>
      <c r="B508" s="7" t="s">
        <v>61</v>
      </c>
      <c r="C508" s="7" t="s">
        <v>82</v>
      </c>
      <c r="D508" s="7"/>
      <c r="E508" s="7"/>
      <c r="F508" s="2" t="s">
        <v>9</v>
      </c>
      <c r="G508" s="3">
        <v>473886.61</v>
      </c>
      <c r="H508" s="3">
        <v>397440.86</v>
      </c>
      <c r="I508" s="3">
        <v>471755.91</v>
      </c>
      <c r="J508" s="3">
        <v>394656.33</v>
      </c>
      <c r="K508" s="3">
        <v>458427.29</v>
      </c>
      <c r="L508" s="3">
        <v>375742.56</v>
      </c>
      <c r="M508" s="3">
        <v>460173.51</v>
      </c>
      <c r="N508" s="8">
        <v>348728.23</v>
      </c>
      <c r="O508" s="3">
        <v>466060.83</v>
      </c>
      <c r="P508" s="8">
        <v>379141.995</v>
      </c>
      <c r="Q508" s="28">
        <f t="shared" si="7"/>
        <v>4226014.125</v>
      </c>
    </row>
    <row r="509" spans="1:17" ht="15" customHeight="1" x14ac:dyDescent="0.2">
      <c r="A509" s="1">
        <v>699</v>
      </c>
      <c r="B509" s="7" t="s">
        <v>61</v>
      </c>
      <c r="C509" s="7" t="s">
        <v>82</v>
      </c>
      <c r="D509" s="7"/>
      <c r="E509" s="7"/>
      <c r="F509" s="2" t="s">
        <v>10</v>
      </c>
      <c r="G509" s="3">
        <v>7785.05</v>
      </c>
      <c r="H509" s="3">
        <v>10293.82</v>
      </c>
      <c r="I509" s="3">
        <v>5077.1499999999996</v>
      </c>
      <c r="J509" s="3">
        <v>4952.95</v>
      </c>
      <c r="K509" s="3">
        <v>6023.02</v>
      </c>
      <c r="L509" s="3">
        <v>8748.5300000000007</v>
      </c>
      <c r="M509" s="3">
        <v>1038.43</v>
      </c>
      <c r="N509" s="8">
        <v>6376.27</v>
      </c>
      <c r="O509" s="3">
        <v>4980.9125000000004</v>
      </c>
      <c r="P509" s="8">
        <v>7592.8925000000008</v>
      </c>
      <c r="Q509" s="28">
        <f t="shared" si="7"/>
        <v>62869.025000000001</v>
      </c>
    </row>
    <row r="510" spans="1:17" ht="15" customHeight="1" x14ac:dyDescent="0.2">
      <c r="A510" s="1">
        <v>701</v>
      </c>
      <c r="B510" s="7" t="s">
        <v>61</v>
      </c>
      <c r="C510" s="7" t="s">
        <v>82</v>
      </c>
      <c r="D510" s="5"/>
      <c r="E510" s="2" t="s">
        <v>11</v>
      </c>
      <c r="F510" s="2" t="s">
        <v>11</v>
      </c>
      <c r="G510" s="3">
        <v>1481.27</v>
      </c>
      <c r="H510" s="3">
        <v>91099.83</v>
      </c>
      <c r="I510" s="3">
        <v>1835.4</v>
      </c>
      <c r="J510" s="3">
        <v>104432.26</v>
      </c>
      <c r="K510" s="3">
        <v>3320.39</v>
      </c>
      <c r="L510" s="3">
        <v>119845.94</v>
      </c>
      <c r="M510" s="3">
        <v>5815.5</v>
      </c>
      <c r="N510" s="8">
        <v>141002.44</v>
      </c>
      <c r="O510" s="3">
        <v>3113.14</v>
      </c>
      <c r="P510" s="8">
        <v>114095.11750000001</v>
      </c>
      <c r="Q510" s="28">
        <f t="shared" si="7"/>
        <v>586041.28750000009</v>
      </c>
    </row>
    <row r="511" spans="1:17" ht="15" customHeight="1" x14ac:dyDescent="0.2">
      <c r="A511" s="1">
        <v>702</v>
      </c>
      <c r="B511" s="7" t="s">
        <v>61</v>
      </c>
      <c r="C511" s="7" t="s">
        <v>82</v>
      </c>
      <c r="D511" s="5"/>
      <c r="E511" s="2" t="s">
        <v>12</v>
      </c>
      <c r="F511" s="2" t="s">
        <v>12</v>
      </c>
      <c r="G511" s="3">
        <v>12535.7</v>
      </c>
      <c r="H511" s="3">
        <v>12197.93</v>
      </c>
      <c r="I511" s="3">
        <v>9553.27</v>
      </c>
      <c r="J511" s="3">
        <v>7071.97</v>
      </c>
      <c r="K511" s="3">
        <v>16256.96</v>
      </c>
      <c r="L511" s="3">
        <v>5879.89</v>
      </c>
      <c r="M511" s="3">
        <v>15017.83</v>
      </c>
      <c r="N511" s="8">
        <v>9901.4</v>
      </c>
      <c r="O511" s="3">
        <v>13340.94</v>
      </c>
      <c r="P511" s="8">
        <v>8762.7975000000006</v>
      </c>
      <c r="Q511" s="28">
        <f t="shared" si="7"/>
        <v>110518.6875</v>
      </c>
    </row>
    <row r="512" spans="1:17" ht="15" customHeight="1" x14ac:dyDescent="0.2">
      <c r="A512" s="1">
        <v>703</v>
      </c>
      <c r="B512" s="7" t="s">
        <v>61</v>
      </c>
      <c r="C512" s="7" t="s">
        <v>82</v>
      </c>
      <c r="D512" s="5"/>
      <c r="E512" s="26" t="s">
        <v>13</v>
      </c>
      <c r="F512" s="2" t="s">
        <v>13</v>
      </c>
      <c r="G512" s="3">
        <v>45313.78</v>
      </c>
      <c r="H512" s="3">
        <v>59412.56</v>
      </c>
      <c r="I512" s="3">
        <v>52539.66</v>
      </c>
      <c r="J512" s="3">
        <v>62643.18</v>
      </c>
      <c r="K512" s="3">
        <v>55451.47</v>
      </c>
      <c r="L512" s="3">
        <v>67649.16</v>
      </c>
      <c r="M512" s="3">
        <v>62200.95</v>
      </c>
      <c r="N512" s="8">
        <v>71935.63</v>
      </c>
      <c r="O512" s="3">
        <v>53876.464999999997</v>
      </c>
      <c r="P512" s="8">
        <v>65410.1325</v>
      </c>
      <c r="Q512" s="28">
        <f t="shared" si="7"/>
        <v>596432.98750000005</v>
      </c>
    </row>
    <row r="513" spans="1:17" ht="15" customHeight="1" x14ac:dyDescent="0.2">
      <c r="A513" s="1">
        <v>704</v>
      </c>
      <c r="B513" s="7" t="s">
        <v>61</v>
      </c>
      <c r="C513" s="7" t="s">
        <v>82</v>
      </c>
      <c r="D513" s="5"/>
      <c r="E513" s="26" t="s">
        <v>14</v>
      </c>
      <c r="F513" s="2" t="s">
        <v>14</v>
      </c>
      <c r="G513" s="3">
        <v>40605.58</v>
      </c>
      <c r="H513" s="3">
        <v>58604</v>
      </c>
      <c r="I513" s="3">
        <v>41469.61</v>
      </c>
      <c r="J513" s="3">
        <v>56082.33</v>
      </c>
      <c r="K513" s="3">
        <v>43364.88</v>
      </c>
      <c r="L513" s="3">
        <v>52540.29</v>
      </c>
      <c r="M513" s="3">
        <v>39162.78</v>
      </c>
      <c r="N513" s="8">
        <v>53399.040000000001</v>
      </c>
      <c r="O513" s="3">
        <v>41150.712500000001</v>
      </c>
      <c r="P513" s="8">
        <v>55156.415000000001</v>
      </c>
      <c r="Q513" s="28">
        <f t="shared" si="7"/>
        <v>481535.63749999995</v>
      </c>
    </row>
    <row r="514" spans="1:17" ht="15" customHeight="1" x14ac:dyDescent="0.2">
      <c r="A514" s="1">
        <v>705</v>
      </c>
      <c r="B514" s="7" t="s">
        <v>61</v>
      </c>
      <c r="C514" s="7" t="s">
        <v>83</v>
      </c>
      <c r="D514" s="2" t="s">
        <v>7</v>
      </c>
      <c r="E514" s="2"/>
      <c r="F514" s="2" t="s">
        <v>7</v>
      </c>
      <c r="G514" s="3">
        <v>165769</v>
      </c>
      <c r="H514" s="3">
        <v>178928</v>
      </c>
      <c r="I514" s="3">
        <v>166104</v>
      </c>
      <c r="J514" s="3">
        <v>179330</v>
      </c>
      <c r="K514" s="3">
        <v>166436</v>
      </c>
      <c r="L514" s="3">
        <v>179726</v>
      </c>
      <c r="M514" s="3">
        <v>166757</v>
      </c>
      <c r="N514" s="8">
        <v>180100</v>
      </c>
      <c r="O514" s="3">
        <v>166266.5</v>
      </c>
      <c r="P514" s="8">
        <v>179521</v>
      </c>
      <c r="Q514" s="28">
        <f t="shared" si="7"/>
        <v>1728937.5</v>
      </c>
    </row>
    <row r="515" spans="1:17" ht="15" customHeight="1" x14ac:dyDescent="0.2">
      <c r="A515" s="1">
        <v>707</v>
      </c>
      <c r="B515" s="7" t="s">
        <v>61</v>
      </c>
      <c r="C515" s="7" t="s">
        <v>83</v>
      </c>
      <c r="D515" s="5"/>
      <c r="E515" s="2" t="s">
        <v>8</v>
      </c>
      <c r="F515" s="2" t="s">
        <v>8</v>
      </c>
      <c r="G515" s="3">
        <v>0</v>
      </c>
      <c r="H515" s="3">
        <v>0</v>
      </c>
      <c r="I515" s="4"/>
      <c r="J515" s="4"/>
      <c r="K515" s="3">
        <v>0</v>
      </c>
      <c r="L515" s="3">
        <v>0</v>
      </c>
      <c r="M515" s="3">
        <v>0</v>
      </c>
      <c r="N515" s="8">
        <v>0</v>
      </c>
      <c r="O515" s="3">
        <v>0</v>
      </c>
      <c r="P515" s="8">
        <v>0</v>
      </c>
      <c r="Q515" s="28">
        <f t="shared" ref="Q515:Q578" si="8">SUM(G515:P515)</f>
        <v>0</v>
      </c>
    </row>
    <row r="516" spans="1:17" ht="15" customHeight="1" x14ac:dyDescent="0.2">
      <c r="A516" s="1">
        <v>709</v>
      </c>
      <c r="B516" s="7" t="s">
        <v>61</v>
      </c>
      <c r="C516" s="7" t="s">
        <v>83</v>
      </c>
      <c r="D516" s="5"/>
      <c r="E516" s="7"/>
      <c r="F516" s="2" t="s">
        <v>9</v>
      </c>
      <c r="G516" s="3">
        <v>139815.09</v>
      </c>
      <c r="H516" s="3">
        <v>114766.14</v>
      </c>
      <c r="I516" s="3">
        <v>139384.07</v>
      </c>
      <c r="J516" s="3">
        <v>111345.45</v>
      </c>
      <c r="K516" s="3">
        <v>136447.51</v>
      </c>
      <c r="L516" s="3">
        <v>113910.08</v>
      </c>
      <c r="M516" s="3">
        <v>135677.93</v>
      </c>
      <c r="N516" s="8">
        <v>112811.84</v>
      </c>
      <c r="O516" s="3">
        <v>137831.15000000002</v>
      </c>
      <c r="P516" s="8">
        <v>113208.3775</v>
      </c>
      <c r="Q516" s="28">
        <f t="shared" si="8"/>
        <v>1255197.6375</v>
      </c>
    </row>
    <row r="517" spans="1:17" ht="15" customHeight="1" x14ac:dyDescent="0.2">
      <c r="A517" s="1">
        <v>710</v>
      </c>
      <c r="B517" s="7" t="s">
        <v>61</v>
      </c>
      <c r="C517" s="7" t="s">
        <v>83</v>
      </c>
      <c r="D517" s="5"/>
      <c r="E517" s="7"/>
      <c r="F517" s="2" t="s">
        <v>10</v>
      </c>
      <c r="G517" s="3">
        <v>621.91999999999996</v>
      </c>
      <c r="H517" s="3">
        <v>1067.27</v>
      </c>
      <c r="I517" s="3">
        <v>1654.87</v>
      </c>
      <c r="J517" s="3">
        <v>2795.3</v>
      </c>
      <c r="K517" s="3">
        <v>1117.18</v>
      </c>
      <c r="L517" s="3">
        <v>714.31</v>
      </c>
      <c r="M517" s="3">
        <v>1573.07</v>
      </c>
      <c r="N517" s="8">
        <v>1688.5</v>
      </c>
      <c r="O517" s="3">
        <v>1241.76</v>
      </c>
      <c r="P517" s="8">
        <v>1566.345</v>
      </c>
      <c r="Q517" s="28">
        <f t="shared" si="8"/>
        <v>14040.525</v>
      </c>
    </row>
    <row r="518" spans="1:17" ht="15" customHeight="1" x14ac:dyDescent="0.2">
      <c r="A518" s="1">
        <v>712</v>
      </c>
      <c r="B518" s="7" t="s">
        <v>61</v>
      </c>
      <c r="C518" s="7" t="s">
        <v>83</v>
      </c>
      <c r="D518" s="5"/>
      <c r="E518" s="2" t="s">
        <v>11</v>
      </c>
      <c r="F518" s="2" t="s">
        <v>11</v>
      </c>
      <c r="G518" s="3">
        <v>515.22</v>
      </c>
      <c r="H518" s="3">
        <v>31556.81</v>
      </c>
      <c r="I518" s="3">
        <v>1394.02</v>
      </c>
      <c r="J518" s="3">
        <v>33492.82</v>
      </c>
      <c r="K518" s="3">
        <v>567.76</v>
      </c>
      <c r="L518" s="3">
        <v>34670.160000000003</v>
      </c>
      <c r="M518" s="3">
        <v>557.01</v>
      </c>
      <c r="N518" s="8">
        <v>34210.68</v>
      </c>
      <c r="O518" s="3">
        <v>758.50250000000005</v>
      </c>
      <c r="P518" s="8">
        <v>33482.6175</v>
      </c>
      <c r="Q518" s="28">
        <f t="shared" si="8"/>
        <v>171205.59999999998</v>
      </c>
    </row>
    <row r="519" spans="1:17" ht="15" customHeight="1" x14ac:dyDescent="0.2">
      <c r="A519" s="1">
        <v>713</v>
      </c>
      <c r="B519" s="7" t="s">
        <v>61</v>
      </c>
      <c r="C519" s="7" t="s">
        <v>83</v>
      </c>
      <c r="D519" s="7"/>
      <c r="E519" s="2" t="s">
        <v>12</v>
      </c>
      <c r="F519" s="2" t="s">
        <v>12</v>
      </c>
      <c r="G519" s="3">
        <v>1941.85</v>
      </c>
      <c r="H519" s="3">
        <v>792.7</v>
      </c>
      <c r="I519" s="3">
        <v>2761.36</v>
      </c>
      <c r="J519" s="3">
        <v>2287.9899999999998</v>
      </c>
      <c r="K519" s="3">
        <v>4095.22</v>
      </c>
      <c r="L519" s="3">
        <v>1902.26</v>
      </c>
      <c r="M519" s="3">
        <v>2368.54</v>
      </c>
      <c r="N519" s="8">
        <v>2414.31</v>
      </c>
      <c r="O519" s="3">
        <v>2791.7425000000003</v>
      </c>
      <c r="P519" s="8">
        <v>1849.3150000000001</v>
      </c>
      <c r="Q519" s="28">
        <f t="shared" si="8"/>
        <v>23205.287499999999</v>
      </c>
    </row>
    <row r="520" spans="1:17" ht="15" customHeight="1" x14ac:dyDescent="0.2">
      <c r="A520" s="1">
        <v>714</v>
      </c>
      <c r="B520" s="7" t="s">
        <v>61</v>
      </c>
      <c r="C520" s="7" t="s">
        <v>83</v>
      </c>
      <c r="D520" s="7"/>
      <c r="E520" s="2" t="s">
        <v>13</v>
      </c>
      <c r="F520" s="2" t="s">
        <v>13</v>
      </c>
      <c r="G520" s="3">
        <v>13019.02</v>
      </c>
      <c r="H520" s="3">
        <v>16213.55</v>
      </c>
      <c r="I520" s="3">
        <v>11738.43</v>
      </c>
      <c r="J520" s="3">
        <v>16794.509999999998</v>
      </c>
      <c r="K520" s="3">
        <v>13237.71</v>
      </c>
      <c r="L520" s="3">
        <v>15609.8</v>
      </c>
      <c r="M520" s="3">
        <v>13902.69</v>
      </c>
      <c r="N520" s="8">
        <v>15368.84</v>
      </c>
      <c r="O520" s="3">
        <v>12974.462500000001</v>
      </c>
      <c r="P520" s="8">
        <v>15996.674999999999</v>
      </c>
      <c r="Q520" s="28">
        <f t="shared" si="8"/>
        <v>144855.6875</v>
      </c>
    </row>
    <row r="521" spans="1:17" ht="15" customHeight="1" x14ac:dyDescent="0.2">
      <c r="A521" s="1">
        <v>715</v>
      </c>
      <c r="B521" s="7" t="s">
        <v>61</v>
      </c>
      <c r="C521" s="7" t="s">
        <v>83</v>
      </c>
      <c r="D521" s="5"/>
      <c r="E521" s="2" t="s">
        <v>14</v>
      </c>
      <c r="F521" s="2" t="s">
        <v>14</v>
      </c>
      <c r="G521" s="3">
        <v>9855.9</v>
      </c>
      <c r="H521" s="3">
        <v>14531.53</v>
      </c>
      <c r="I521" s="3">
        <v>9171.25</v>
      </c>
      <c r="J521" s="3">
        <v>12613.93</v>
      </c>
      <c r="K521" s="3">
        <v>10970.62</v>
      </c>
      <c r="L521" s="3">
        <v>12919.39</v>
      </c>
      <c r="M521" s="3">
        <v>12677.75</v>
      </c>
      <c r="N521" s="8">
        <v>13605.84</v>
      </c>
      <c r="O521" s="3">
        <v>10668.880000000001</v>
      </c>
      <c r="P521" s="8">
        <v>13417.672500000001</v>
      </c>
      <c r="Q521" s="28">
        <f t="shared" si="8"/>
        <v>120432.7625</v>
      </c>
    </row>
    <row r="522" spans="1:17" ht="15" customHeight="1" x14ac:dyDescent="0.2">
      <c r="A522" s="1">
        <v>716</v>
      </c>
      <c r="B522" s="7" t="s">
        <v>61</v>
      </c>
      <c r="C522" s="7" t="s">
        <v>84</v>
      </c>
      <c r="D522" s="26" t="s">
        <v>7</v>
      </c>
      <c r="E522" s="2"/>
      <c r="F522" s="2" t="s">
        <v>7</v>
      </c>
      <c r="G522" s="3">
        <v>95211</v>
      </c>
      <c r="H522" s="3">
        <v>102298</v>
      </c>
      <c r="I522" s="3">
        <v>95199</v>
      </c>
      <c r="J522" s="3">
        <v>102304</v>
      </c>
      <c r="K522" s="3">
        <v>95187</v>
      </c>
      <c r="L522" s="3">
        <v>102310</v>
      </c>
      <c r="M522" s="3">
        <v>95165</v>
      </c>
      <c r="N522" s="8">
        <v>102303</v>
      </c>
      <c r="O522" s="3">
        <v>95190.5</v>
      </c>
      <c r="P522" s="8">
        <v>102303.75</v>
      </c>
      <c r="Q522" s="28">
        <f t="shared" si="8"/>
        <v>987471.25</v>
      </c>
    </row>
    <row r="523" spans="1:17" ht="15" customHeight="1" x14ac:dyDescent="0.2">
      <c r="A523" s="1">
        <v>718</v>
      </c>
      <c r="B523" s="7" t="s">
        <v>61</v>
      </c>
      <c r="C523" s="7" t="s">
        <v>84</v>
      </c>
      <c r="D523" s="5"/>
      <c r="E523" s="26" t="s">
        <v>8</v>
      </c>
      <c r="F523" s="2" t="s">
        <v>8</v>
      </c>
      <c r="G523" s="3">
        <v>0</v>
      </c>
      <c r="H523" s="3">
        <v>0</v>
      </c>
      <c r="I523" s="4">
        <v>0</v>
      </c>
      <c r="J523" s="4">
        <v>0</v>
      </c>
      <c r="K523" s="3">
        <v>277.64</v>
      </c>
      <c r="L523" s="3">
        <v>0</v>
      </c>
      <c r="M523" s="3">
        <v>0</v>
      </c>
      <c r="N523" s="8">
        <v>0</v>
      </c>
      <c r="O523" s="3">
        <v>69.41</v>
      </c>
      <c r="P523" s="8">
        <v>0</v>
      </c>
      <c r="Q523" s="28">
        <f t="shared" si="8"/>
        <v>347.04999999999995</v>
      </c>
    </row>
    <row r="524" spans="1:17" ht="15" customHeight="1" x14ac:dyDescent="0.2">
      <c r="A524" s="1">
        <v>720</v>
      </c>
      <c r="B524" s="7" t="s">
        <v>61</v>
      </c>
      <c r="C524" s="7" t="s">
        <v>84</v>
      </c>
      <c r="D524" s="5"/>
      <c r="E524" s="5"/>
      <c r="F524" s="2" t="s">
        <v>9</v>
      </c>
      <c r="G524" s="3">
        <v>71564.67</v>
      </c>
      <c r="H524" s="3">
        <v>52901.21</v>
      </c>
      <c r="I524" s="3">
        <v>73811.520000000004</v>
      </c>
      <c r="J524" s="3">
        <v>50602.559999999998</v>
      </c>
      <c r="K524" s="3">
        <v>74931.23</v>
      </c>
      <c r="L524" s="3">
        <v>49670.75</v>
      </c>
      <c r="M524" s="3">
        <v>73728</v>
      </c>
      <c r="N524" s="8">
        <v>55905.43</v>
      </c>
      <c r="O524" s="3">
        <v>73508.854999999996</v>
      </c>
      <c r="P524" s="8">
        <v>52269.987499999996</v>
      </c>
      <c r="Q524" s="28">
        <f t="shared" si="8"/>
        <v>628894.21250000002</v>
      </c>
    </row>
    <row r="525" spans="1:17" ht="15" customHeight="1" x14ac:dyDescent="0.2">
      <c r="A525" s="1">
        <v>721</v>
      </c>
      <c r="B525" s="7" t="s">
        <v>61</v>
      </c>
      <c r="C525" s="7" t="s">
        <v>84</v>
      </c>
      <c r="D525" s="7"/>
      <c r="E525" s="7"/>
      <c r="F525" s="2" t="s">
        <v>10</v>
      </c>
      <c r="G525" s="3">
        <v>1422.31</v>
      </c>
      <c r="H525" s="3">
        <v>341.79</v>
      </c>
      <c r="I525" s="3">
        <v>3230.26</v>
      </c>
      <c r="J525" s="3">
        <v>1474.36</v>
      </c>
      <c r="K525" s="3">
        <v>1444.3</v>
      </c>
      <c r="L525" s="3">
        <v>476.21</v>
      </c>
      <c r="M525" s="3">
        <v>2342.56</v>
      </c>
      <c r="N525" s="8">
        <v>912.64</v>
      </c>
      <c r="O525" s="3">
        <v>2109.8575000000001</v>
      </c>
      <c r="P525" s="8">
        <v>801.24999999999989</v>
      </c>
      <c r="Q525" s="28">
        <f t="shared" si="8"/>
        <v>14555.537499999999</v>
      </c>
    </row>
    <row r="526" spans="1:17" ht="15" customHeight="1" x14ac:dyDescent="0.2">
      <c r="A526" s="1">
        <v>723</v>
      </c>
      <c r="B526" s="7" t="s">
        <v>61</v>
      </c>
      <c r="C526" s="7" t="s">
        <v>84</v>
      </c>
      <c r="D526" s="5"/>
      <c r="E526" s="2" t="s">
        <v>11</v>
      </c>
      <c r="F526" s="2" t="s">
        <v>11</v>
      </c>
      <c r="G526" s="3">
        <v>1119.5</v>
      </c>
      <c r="H526" s="3">
        <v>22155.200000000001</v>
      </c>
      <c r="I526" s="3">
        <v>1060.07</v>
      </c>
      <c r="J526" s="3">
        <v>24583.57</v>
      </c>
      <c r="K526" s="3">
        <v>754</v>
      </c>
      <c r="L526" s="3">
        <v>28414.41</v>
      </c>
      <c r="M526" s="3">
        <v>642.73</v>
      </c>
      <c r="N526" s="8">
        <v>21744.77</v>
      </c>
      <c r="O526" s="3">
        <v>894.07499999999993</v>
      </c>
      <c r="P526" s="8">
        <v>24224.487500000003</v>
      </c>
      <c r="Q526" s="28">
        <f t="shared" si="8"/>
        <v>125592.8125</v>
      </c>
    </row>
    <row r="527" spans="1:17" ht="15" customHeight="1" x14ac:dyDescent="0.2">
      <c r="A527" s="1">
        <v>724</v>
      </c>
      <c r="B527" s="7" t="s">
        <v>61</v>
      </c>
      <c r="C527" s="7" t="s">
        <v>84</v>
      </c>
      <c r="D527" s="5"/>
      <c r="E527" s="2" t="s">
        <v>12</v>
      </c>
      <c r="F527" s="2" t="s">
        <v>12</v>
      </c>
      <c r="G527" s="3">
        <v>2504.13</v>
      </c>
      <c r="H527" s="3">
        <v>2445.2800000000002</v>
      </c>
      <c r="I527" s="3">
        <v>2371.67</v>
      </c>
      <c r="J527" s="3">
        <v>1935.72</v>
      </c>
      <c r="K527" s="3">
        <v>3266.22</v>
      </c>
      <c r="L527" s="3">
        <v>1841.68</v>
      </c>
      <c r="M527" s="3">
        <v>2939.85</v>
      </c>
      <c r="N527" s="8">
        <v>1570.72</v>
      </c>
      <c r="O527" s="3">
        <v>2770.4675000000002</v>
      </c>
      <c r="P527" s="8">
        <v>1948.3500000000001</v>
      </c>
      <c r="Q527" s="28">
        <f t="shared" si="8"/>
        <v>23594.087499999998</v>
      </c>
    </row>
    <row r="528" spans="1:17" ht="15" customHeight="1" x14ac:dyDescent="0.2">
      <c r="A528" s="1">
        <v>725</v>
      </c>
      <c r="B528" s="7" t="s">
        <v>61</v>
      </c>
      <c r="C528" s="7" t="s">
        <v>84</v>
      </c>
      <c r="D528" s="5"/>
      <c r="E528" s="2" t="s">
        <v>13</v>
      </c>
      <c r="F528" s="2" t="s">
        <v>13</v>
      </c>
      <c r="G528" s="3">
        <v>11551.98</v>
      </c>
      <c r="H528" s="3">
        <v>16107.47</v>
      </c>
      <c r="I528" s="3">
        <v>8643.26</v>
      </c>
      <c r="J528" s="3">
        <v>16492.13</v>
      </c>
      <c r="K528" s="3">
        <v>7859.11</v>
      </c>
      <c r="L528" s="3">
        <v>14253.12</v>
      </c>
      <c r="M528" s="3">
        <v>9509.4</v>
      </c>
      <c r="N528" s="8">
        <v>13929.44</v>
      </c>
      <c r="O528" s="3">
        <v>9390.9375</v>
      </c>
      <c r="P528" s="8">
        <v>15195.54</v>
      </c>
      <c r="Q528" s="28">
        <f t="shared" si="8"/>
        <v>122932.38749999998</v>
      </c>
    </row>
    <row r="529" spans="1:17" ht="15" customHeight="1" x14ac:dyDescent="0.2">
      <c r="A529" s="1">
        <v>726</v>
      </c>
      <c r="B529" s="7" t="s">
        <v>61</v>
      </c>
      <c r="C529" s="7" t="s">
        <v>84</v>
      </c>
      <c r="D529" s="5"/>
      <c r="E529" s="2" t="s">
        <v>14</v>
      </c>
      <c r="F529" s="2" t="s">
        <v>14</v>
      </c>
      <c r="G529" s="3">
        <v>7048.39</v>
      </c>
      <c r="H529" s="3">
        <v>8347.0499999999993</v>
      </c>
      <c r="I529" s="3">
        <v>6082.21</v>
      </c>
      <c r="J529" s="3">
        <v>7215.66</v>
      </c>
      <c r="K529" s="3">
        <v>6654.5</v>
      </c>
      <c r="L529" s="3">
        <v>7653.83</v>
      </c>
      <c r="M529" s="3">
        <v>6002.47</v>
      </c>
      <c r="N529" s="8">
        <v>8240.01</v>
      </c>
      <c r="O529" s="3">
        <v>6446.8924999999999</v>
      </c>
      <c r="P529" s="8">
        <v>7864.1375000000007</v>
      </c>
      <c r="Q529" s="28">
        <f t="shared" si="8"/>
        <v>71555.150000000009</v>
      </c>
    </row>
    <row r="530" spans="1:17" ht="15" customHeight="1" x14ac:dyDescent="0.2">
      <c r="A530" s="1">
        <v>727</v>
      </c>
      <c r="B530" s="7" t="s">
        <v>61</v>
      </c>
      <c r="C530" s="7" t="s">
        <v>85</v>
      </c>
      <c r="D530" s="2" t="s">
        <v>7</v>
      </c>
      <c r="E530" s="2"/>
      <c r="F530" s="2" t="s">
        <v>7</v>
      </c>
      <c r="G530" s="3">
        <v>237841</v>
      </c>
      <c r="H530" s="3">
        <v>255020</v>
      </c>
      <c r="I530" s="3">
        <v>238477</v>
      </c>
      <c r="J530" s="3">
        <v>255753</v>
      </c>
      <c r="K530" s="3">
        <v>239086</v>
      </c>
      <c r="L530" s="3">
        <v>256461</v>
      </c>
      <c r="M530" s="3">
        <v>239656</v>
      </c>
      <c r="N530" s="8">
        <v>257126</v>
      </c>
      <c r="O530" s="3">
        <v>238765</v>
      </c>
      <c r="P530" s="8">
        <v>256090</v>
      </c>
      <c r="Q530" s="28">
        <f t="shared" si="8"/>
        <v>2474275</v>
      </c>
    </row>
    <row r="531" spans="1:17" ht="15" customHeight="1" x14ac:dyDescent="0.2">
      <c r="A531" s="1">
        <v>729</v>
      </c>
      <c r="B531" s="7" t="s">
        <v>61</v>
      </c>
      <c r="C531" s="7" t="s">
        <v>85</v>
      </c>
      <c r="D531" s="7"/>
      <c r="E531" s="2" t="s">
        <v>8</v>
      </c>
      <c r="F531" s="2" t="s">
        <v>8</v>
      </c>
      <c r="G531" s="3">
        <v>0</v>
      </c>
      <c r="H531" s="3">
        <v>0</v>
      </c>
      <c r="I531" s="4">
        <v>0</v>
      </c>
      <c r="J531" s="4">
        <v>0</v>
      </c>
      <c r="K531" s="3">
        <v>0</v>
      </c>
      <c r="L531" s="3">
        <v>0</v>
      </c>
      <c r="M531" s="3">
        <v>0</v>
      </c>
      <c r="N531" s="8">
        <v>0</v>
      </c>
      <c r="O531" s="3">
        <v>0</v>
      </c>
      <c r="P531" s="8">
        <v>0</v>
      </c>
      <c r="Q531" s="28">
        <f t="shared" si="8"/>
        <v>0</v>
      </c>
    </row>
    <row r="532" spans="1:17" ht="15" customHeight="1" x14ac:dyDescent="0.2">
      <c r="A532" s="1">
        <v>731</v>
      </c>
      <c r="B532" s="7" t="s">
        <v>61</v>
      </c>
      <c r="C532" s="7" t="s">
        <v>85</v>
      </c>
      <c r="D532" s="5"/>
      <c r="E532" s="7"/>
      <c r="F532" s="2" t="s">
        <v>9</v>
      </c>
      <c r="G532" s="3">
        <v>177080.35</v>
      </c>
      <c r="H532" s="3">
        <v>154546.85</v>
      </c>
      <c r="I532" s="3">
        <v>178842.43</v>
      </c>
      <c r="J532" s="3">
        <v>161590.97</v>
      </c>
      <c r="K532" s="3">
        <v>183574.66</v>
      </c>
      <c r="L532" s="3">
        <v>163895.98000000001</v>
      </c>
      <c r="M532" s="3">
        <v>181189.67</v>
      </c>
      <c r="N532" s="8">
        <v>159208.88</v>
      </c>
      <c r="O532" s="3">
        <v>180171.77750000003</v>
      </c>
      <c r="P532" s="8">
        <v>159810.67000000001</v>
      </c>
      <c r="Q532" s="28">
        <f t="shared" si="8"/>
        <v>1699912.2375</v>
      </c>
    </row>
    <row r="533" spans="1:17" ht="15" customHeight="1" x14ac:dyDescent="0.2">
      <c r="A533" s="1">
        <v>732</v>
      </c>
      <c r="B533" s="7" t="s">
        <v>61</v>
      </c>
      <c r="C533" s="7" t="s">
        <v>85</v>
      </c>
      <c r="D533" s="5"/>
      <c r="E533" s="7"/>
      <c r="F533" s="2" t="s">
        <v>10</v>
      </c>
      <c r="G533" s="3">
        <v>993.14</v>
      </c>
      <c r="H533" s="3">
        <v>509.1</v>
      </c>
      <c r="I533" s="3">
        <v>702.72</v>
      </c>
      <c r="J533" s="3">
        <v>1432.35</v>
      </c>
      <c r="K533" s="3">
        <v>1849.45</v>
      </c>
      <c r="L533" s="3">
        <v>2867.15</v>
      </c>
      <c r="M533" s="3">
        <v>709.89</v>
      </c>
      <c r="N533" s="8">
        <v>2308.2600000000002</v>
      </c>
      <c r="O533" s="3">
        <v>1063.8000000000002</v>
      </c>
      <c r="P533" s="8">
        <v>1779.2150000000001</v>
      </c>
      <c r="Q533" s="28">
        <f t="shared" si="8"/>
        <v>14215.075000000001</v>
      </c>
    </row>
    <row r="534" spans="1:17" ht="15" customHeight="1" x14ac:dyDescent="0.2">
      <c r="A534" s="1">
        <v>734</v>
      </c>
      <c r="B534" s="7" t="s">
        <v>61</v>
      </c>
      <c r="C534" s="7" t="s">
        <v>85</v>
      </c>
      <c r="D534" s="5"/>
      <c r="E534" s="26" t="s">
        <v>11</v>
      </c>
      <c r="F534" s="2" t="s">
        <v>11</v>
      </c>
      <c r="G534" s="3">
        <v>2779.82</v>
      </c>
      <c r="H534" s="3">
        <v>39386.07</v>
      </c>
      <c r="I534" s="3">
        <v>4375.16</v>
      </c>
      <c r="J534" s="3">
        <v>31877.56</v>
      </c>
      <c r="K534" s="3">
        <v>1948.62</v>
      </c>
      <c r="L534" s="3">
        <v>29573.360000000001</v>
      </c>
      <c r="M534" s="3">
        <v>1361.91</v>
      </c>
      <c r="N534" s="8">
        <v>36435.81</v>
      </c>
      <c r="O534" s="3">
        <v>2616.3774999999996</v>
      </c>
      <c r="P534" s="8">
        <v>34318.199999999997</v>
      </c>
      <c r="Q534" s="28">
        <f t="shared" si="8"/>
        <v>184672.88750000001</v>
      </c>
    </row>
    <row r="535" spans="1:17" ht="15" customHeight="1" x14ac:dyDescent="0.2">
      <c r="A535" s="1">
        <v>735</v>
      </c>
      <c r="B535" s="7" t="s">
        <v>61</v>
      </c>
      <c r="C535" s="7" t="s">
        <v>85</v>
      </c>
      <c r="D535" s="5"/>
      <c r="E535" s="26" t="s">
        <v>12</v>
      </c>
      <c r="F535" s="2" t="s">
        <v>12</v>
      </c>
      <c r="G535" s="3">
        <v>7140.86</v>
      </c>
      <c r="H535" s="3">
        <v>3408.06</v>
      </c>
      <c r="I535" s="3">
        <v>5355.85</v>
      </c>
      <c r="J535" s="3">
        <v>3074.29</v>
      </c>
      <c r="K535" s="3">
        <v>5183.4799999999996</v>
      </c>
      <c r="L535" s="3">
        <v>1728.19</v>
      </c>
      <c r="M535" s="3">
        <v>7684.84</v>
      </c>
      <c r="N535" s="8">
        <v>2035.75</v>
      </c>
      <c r="O535" s="3">
        <v>6341.2574999999997</v>
      </c>
      <c r="P535" s="8">
        <v>2561.5725000000002</v>
      </c>
      <c r="Q535" s="28">
        <f t="shared" si="8"/>
        <v>44514.15</v>
      </c>
    </row>
    <row r="536" spans="1:17" ht="15" customHeight="1" x14ac:dyDescent="0.2">
      <c r="A536" s="1">
        <v>736</v>
      </c>
      <c r="B536" s="7" t="s">
        <v>61</v>
      </c>
      <c r="C536" s="7" t="s">
        <v>85</v>
      </c>
      <c r="D536" s="7"/>
      <c r="E536" s="2" t="s">
        <v>13</v>
      </c>
      <c r="F536" s="2" t="s">
        <v>13</v>
      </c>
      <c r="G536" s="3">
        <v>26866.47</v>
      </c>
      <c r="H536" s="3">
        <v>33480.25</v>
      </c>
      <c r="I536" s="3">
        <v>28298.13</v>
      </c>
      <c r="J536" s="3">
        <v>34414.699999999997</v>
      </c>
      <c r="K536" s="3">
        <v>27885.81</v>
      </c>
      <c r="L536" s="3">
        <v>36275.69</v>
      </c>
      <c r="M536" s="3">
        <v>26838.080000000002</v>
      </c>
      <c r="N536" s="8">
        <v>37054.01</v>
      </c>
      <c r="O536" s="3">
        <v>27472.122500000001</v>
      </c>
      <c r="P536" s="8">
        <v>35306.162499999999</v>
      </c>
      <c r="Q536" s="28">
        <f t="shared" si="8"/>
        <v>313891.42499999999</v>
      </c>
    </row>
    <row r="537" spans="1:17" ht="15" customHeight="1" x14ac:dyDescent="0.2">
      <c r="A537" s="1">
        <v>737</v>
      </c>
      <c r="B537" s="7" t="s">
        <v>61</v>
      </c>
      <c r="C537" s="7" t="s">
        <v>85</v>
      </c>
      <c r="D537" s="5"/>
      <c r="E537" s="2" t="s">
        <v>14</v>
      </c>
      <c r="F537" s="2" t="s">
        <v>14</v>
      </c>
      <c r="G537" s="3">
        <v>22980.37</v>
      </c>
      <c r="H537" s="3">
        <v>23689.67</v>
      </c>
      <c r="I537" s="3">
        <v>20902.71</v>
      </c>
      <c r="J537" s="3">
        <v>23363.14</v>
      </c>
      <c r="K537" s="3">
        <v>18643.98</v>
      </c>
      <c r="L537" s="3">
        <v>22120.63</v>
      </c>
      <c r="M537" s="3">
        <v>21871.61</v>
      </c>
      <c r="N537" s="8">
        <v>20083.28</v>
      </c>
      <c r="O537" s="3">
        <v>21099.6675</v>
      </c>
      <c r="P537" s="8">
        <v>22314.18</v>
      </c>
      <c r="Q537" s="28">
        <f t="shared" si="8"/>
        <v>217069.23749999999</v>
      </c>
    </row>
    <row r="538" spans="1:17" ht="15" customHeight="1" x14ac:dyDescent="0.2">
      <c r="A538" s="1">
        <v>738</v>
      </c>
      <c r="B538" s="7" t="s">
        <v>61</v>
      </c>
      <c r="C538" s="7" t="s">
        <v>86</v>
      </c>
      <c r="D538" s="26" t="s">
        <v>7</v>
      </c>
      <c r="E538" s="2"/>
      <c r="F538" s="2" t="s">
        <v>7</v>
      </c>
      <c r="G538" s="3">
        <v>450345</v>
      </c>
      <c r="H538" s="3">
        <v>485936</v>
      </c>
      <c r="I538" s="3">
        <v>451151</v>
      </c>
      <c r="J538" s="3">
        <v>486896</v>
      </c>
      <c r="K538" s="3">
        <v>451941</v>
      </c>
      <c r="L538" s="3">
        <v>487839</v>
      </c>
      <c r="M538" s="3">
        <v>452682</v>
      </c>
      <c r="N538" s="8">
        <v>488733</v>
      </c>
      <c r="O538" s="3">
        <v>451529.75</v>
      </c>
      <c r="P538" s="8">
        <v>487351</v>
      </c>
      <c r="Q538" s="28">
        <f t="shared" si="8"/>
        <v>4694403.75</v>
      </c>
    </row>
    <row r="539" spans="1:17" ht="15" customHeight="1" x14ac:dyDescent="0.2">
      <c r="A539" s="1">
        <v>740</v>
      </c>
      <c r="B539" s="7" t="s">
        <v>61</v>
      </c>
      <c r="C539" s="7" t="s">
        <v>86</v>
      </c>
      <c r="D539" s="5"/>
      <c r="E539" s="2" t="s">
        <v>8</v>
      </c>
      <c r="F539" s="2" t="s">
        <v>8</v>
      </c>
      <c r="G539" s="3">
        <v>0</v>
      </c>
      <c r="H539" s="3">
        <v>0</v>
      </c>
      <c r="I539" s="4">
        <v>0</v>
      </c>
      <c r="J539" s="4">
        <v>0</v>
      </c>
      <c r="K539" s="3">
        <v>0</v>
      </c>
      <c r="L539" s="3">
        <v>0</v>
      </c>
      <c r="M539" s="3">
        <v>0</v>
      </c>
      <c r="N539" s="8">
        <v>0</v>
      </c>
      <c r="O539" s="3">
        <v>0</v>
      </c>
      <c r="P539" s="8">
        <v>0</v>
      </c>
      <c r="Q539" s="28">
        <f t="shared" si="8"/>
        <v>0</v>
      </c>
    </row>
    <row r="540" spans="1:17" ht="15" customHeight="1" x14ac:dyDescent="0.2">
      <c r="A540" s="1">
        <v>742</v>
      </c>
      <c r="B540" s="7" t="s">
        <v>61</v>
      </c>
      <c r="C540" s="7" t="s">
        <v>86</v>
      </c>
      <c r="D540" s="5"/>
      <c r="E540" s="7"/>
      <c r="F540" s="2" t="s">
        <v>9</v>
      </c>
      <c r="G540" s="3">
        <v>361799</v>
      </c>
      <c r="H540" s="3">
        <v>303325.71000000002</v>
      </c>
      <c r="I540" s="3">
        <v>352920.81</v>
      </c>
      <c r="J540" s="3">
        <v>281445.42</v>
      </c>
      <c r="K540" s="3">
        <v>360238.57</v>
      </c>
      <c r="L540" s="3">
        <v>279946.62</v>
      </c>
      <c r="M540" s="3">
        <v>375476.72</v>
      </c>
      <c r="N540" s="8">
        <v>296623.03999999998</v>
      </c>
      <c r="O540" s="3">
        <v>362608.77500000002</v>
      </c>
      <c r="P540" s="8">
        <v>290335.19750000001</v>
      </c>
      <c r="Q540" s="28">
        <f t="shared" si="8"/>
        <v>3264719.8624999998</v>
      </c>
    </row>
    <row r="541" spans="1:17" ht="15" customHeight="1" x14ac:dyDescent="0.2">
      <c r="A541" s="1">
        <v>743</v>
      </c>
      <c r="B541" s="7" t="s">
        <v>61</v>
      </c>
      <c r="C541" s="7" t="s">
        <v>86</v>
      </c>
      <c r="D541" s="7"/>
      <c r="E541" s="7"/>
      <c r="F541" s="2" t="s">
        <v>10</v>
      </c>
      <c r="G541" s="3">
        <v>2698.06</v>
      </c>
      <c r="H541" s="3">
        <v>0</v>
      </c>
      <c r="I541" s="3">
        <v>3691.74</v>
      </c>
      <c r="J541" s="3">
        <v>3185.59</v>
      </c>
      <c r="K541" s="3">
        <v>741.2</v>
      </c>
      <c r="L541" s="3">
        <v>3147.76</v>
      </c>
      <c r="M541" s="3">
        <v>1033.07</v>
      </c>
      <c r="N541" s="8">
        <v>3519.89</v>
      </c>
      <c r="O541" s="3">
        <v>2041.0174999999997</v>
      </c>
      <c r="P541" s="8">
        <v>2463.31</v>
      </c>
      <c r="Q541" s="28">
        <f t="shared" si="8"/>
        <v>22521.637500000001</v>
      </c>
    </row>
    <row r="542" spans="1:17" ht="15" customHeight="1" x14ac:dyDescent="0.2">
      <c r="A542" s="1">
        <v>745</v>
      </c>
      <c r="B542" s="7" t="s">
        <v>61</v>
      </c>
      <c r="C542" s="7" t="s">
        <v>86</v>
      </c>
      <c r="D542" s="7"/>
      <c r="E542" s="2" t="s">
        <v>11</v>
      </c>
      <c r="F542" s="2" t="s">
        <v>11</v>
      </c>
      <c r="G542" s="3">
        <v>6695.24</v>
      </c>
      <c r="H542" s="3">
        <v>89974.67</v>
      </c>
      <c r="I542" s="3">
        <v>10618.89</v>
      </c>
      <c r="J542" s="3">
        <v>105701.75999999999</v>
      </c>
      <c r="K542" s="3">
        <v>8862.7999999999993</v>
      </c>
      <c r="L542" s="3">
        <v>103766.76</v>
      </c>
      <c r="M542" s="3">
        <v>4488.32</v>
      </c>
      <c r="N542" s="8">
        <v>95640.71</v>
      </c>
      <c r="O542" s="3">
        <v>7666.3124999999991</v>
      </c>
      <c r="P542" s="8">
        <v>98770.975000000006</v>
      </c>
      <c r="Q542" s="28">
        <f t="shared" si="8"/>
        <v>532186.4375</v>
      </c>
    </row>
    <row r="543" spans="1:17" ht="15" customHeight="1" x14ac:dyDescent="0.2">
      <c r="A543" s="1">
        <v>746</v>
      </c>
      <c r="B543" s="7" t="s">
        <v>61</v>
      </c>
      <c r="C543" s="7" t="s">
        <v>86</v>
      </c>
      <c r="D543" s="5"/>
      <c r="E543" s="2" t="s">
        <v>12</v>
      </c>
      <c r="F543" s="2" t="s">
        <v>12</v>
      </c>
      <c r="G543" s="3">
        <v>18832.04</v>
      </c>
      <c r="H543" s="3">
        <v>7786.34</v>
      </c>
      <c r="I543" s="3">
        <v>11183.26</v>
      </c>
      <c r="J543" s="3">
        <v>9225.67</v>
      </c>
      <c r="K543" s="3">
        <v>10333.27</v>
      </c>
      <c r="L543" s="3">
        <v>10987.21</v>
      </c>
      <c r="M543" s="3">
        <v>12887.25</v>
      </c>
      <c r="N543" s="8">
        <v>10356.549999999999</v>
      </c>
      <c r="O543" s="3">
        <v>13308.955000000002</v>
      </c>
      <c r="P543" s="8">
        <v>9588.942500000001</v>
      </c>
      <c r="Q543" s="28">
        <f t="shared" si="8"/>
        <v>114489.48750000002</v>
      </c>
    </row>
    <row r="544" spans="1:17" ht="15" customHeight="1" x14ac:dyDescent="0.2">
      <c r="A544" s="1">
        <v>747</v>
      </c>
      <c r="B544" s="7" t="s">
        <v>61</v>
      </c>
      <c r="C544" s="7" t="s">
        <v>86</v>
      </c>
      <c r="D544" s="5"/>
      <c r="E544" s="2" t="s">
        <v>13</v>
      </c>
      <c r="F544" s="2" t="s">
        <v>13</v>
      </c>
      <c r="G544" s="3">
        <v>26816.29</v>
      </c>
      <c r="H544" s="3">
        <v>36992.29</v>
      </c>
      <c r="I544" s="3">
        <v>33955.410000000003</v>
      </c>
      <c r="J544" s="3">
        <v>41000.239999999998</v>
      </c>
      <c r="K544" s="3">
        <v>33798.79</v>
      </c>
      <c r="L544" s="3">
        <v>43742.12</v>
      </c>
      <c r="M544" s="3">
        <v>25693</v>
      </c>
      <c r="N544" s="8">
        <v>41106.400000000001</v>
      </c>
      <c r="O544" s="3">
        <v>30065.872500000001</v>
      </c>
      <c r="P544" s="8">
        <v>40710.262499999997</v>
      </c>
      <c r="Q544" s="28">
        <f t="shared" si="8"/>
        <v>353880.67500000005</v>
      </c>
    </row>
    <row r="545" spans="1:17" ht="15" customHeight="1" x14ac:dyDescent="0.2">
      <c r="A545" s="1">
        <v>748</v>
      </c>
      <c r="B545" s="7" t="s">
        <v>61</v>
      </c>
      <c r="C545" s="7" t="s">
        <v>86</v>
      </c>
      <c r="D545" s="5"/>
      <c r="E545" s="26" t="s">
        <v>14</v>
      </c>
      <c r="F545" s="2" t="s">
        <v>14</v>
      </c>
      <c r="G545" s="3">
        <v>33504.370000000003</v>
      </c>
      <c r="H545" s="3">
        <v>47857</v>
      </c>
      <c r="I545" s="3">
        <v>38780.89</v>
      </c>
      <c r="J545" s="3">
        <v>46337.32</v>
      </c>
      <c r="K545" s="3">
        <v>37966.36</v>
      </c>
      <c r="L545" s="3">
        <v>46248.52</v>
      </c>
      <c r="M545" s="3">
        <v>33103.64</v>
      </c>
      <c r="N545" s="8">
        <v>41486.410000000003</v>
      </c>
      <c r="O545" s="3">
        <v>35838.815000000002</v>
      </c>
      <c r="P545" s="8">
        <v>45482.3125</v>
      </c>
      <c r="Q545" s="28">
        <f t="shared" si="8"/>
        <v>406605.63750000001</v>
      </c>
    </row>
    <row r="546" spans="1:17" ht="15" customHeight="1" x14ac:dyDescent="0.2">
      <c r="A546" s="1">
        <v>749</v>
      </c>
      <c r="B546" s="7" t="s">
        <v>61</v>
      </c>
      <c r="C546" s="7" t="s">
        <v>87</v>
      </c>
      <c r="D546" s="26" t="s">
        <v>7</v>
      </c>
      <c r="E546" s="26"/>
      <c r="F546" s="2" t="s">
        <v>7</v>
      </c>
      <c r="G546" s="3">
        <v>111059</v>
      </c>
      <c r="H546" s="3">
        <v>119749</v>
      </c>
      <c r="I546" s="3">
        <v>111497</v>
      </c>
      <c r="J546" s="3">
        <v>120247</v>
      </c>
      <c r="K546" s="3">
        <v>111926</v>
      </c>
      <c r="L546" s="3">
        <v>120739</v>
      </c>
      <c r="M546" s="3">
        <v>112341</v>
      </c>
      <c r="N546" s="8">
        <v>121206.01</v>
      </c>
      <c r="O546" s="3">
        <v>111705.75</v>
      </c>
      <c r="P546" s="8">
        <v>120485.2525</v>
      </c>
      <c r="Q546" s="28">
        <f t="shared" si="8"/>
        <v>1160955.0125</v>
      </c>
    </row>
    <row r="547" spans="1:17" ht="15" customHeight="1" x14ac:dyDescent="0.2">
      <c r="A547" s="1">
        <v>751</v>
      </c>
      <c r="B547" s="7" t="s">
        <v>61</v>
      </c>
      <c r="C547" s="7" t="s">
        <v>87</v>
      </c>
      <c r="D547" s="7"/>
      <c r="E547" s="2" t="s">
        <v>8</v>
      </c>
      <c r="F547" s="2" t="s">
        <v>8</v>
      </c>
      <c r="G547" s="3">
        <v>83.36</v>
      </c>
      <c r="H547" s="3">
        <v>0</v>
      </c>
      <c r="I547" s="4">
        <v>0</v>
      </c>
      <c r="J547" s="4">
        <v>0</v>
      </c>
      <c r="K547" s="3">
        <v>87.56</v>
      </c>
      <c r="L547" s="3">
        <v>101.51</v>
      </c>
      <c r="M547" s="3">
        <v>0</v>
      </c>
      <c r="N547" s="8">
        <v>0</v>
      </c>
      <c r="O547" s="3">
        <v>42.730000000000004</v>
      </c>
      <c r="P547" s="8">
        <v>25.377500000000001</v>
      </c>
      <c r="Q547" s="28">
        <f t="shared" si="8"/>
        <v>340.53750000000002</v>
      </c>
    </row>
    <row r="548" spans="1:17" ht="15" customHeight="1" x14ac:dyDescent="0.2">
      <c r="A548" s="1">
        <v>753</v>
      </c>
      <c r="B548" s="7" t="s">
        <v>61</v>
      </c>
      <c r="C548" s="7" t="s">
        <v>87</v>
      </c>
      <c r="D548" s="5"/>
      <c r="E548" s="7"/>
      <c r="F548" s="2" t="s">
        <v>9</v>
      </c>
      <c r="G548" s="3">
        <v>93385.04</v>
      </c>
      <c r="H548" s="3">
        <v>66384.78</v>
      </c>
      <c r="I548" s="3">
        <v>89758.45</v>
      </c>
      <c r="J548" s="3">
        <v>61616.07</v>
      </c>
      <c r="K548" s="3">
        <v>87225.22</v>
      </c>
      <c r="L548" s="3">
        <v>59917.21</v>
      </c>
      <c r="M548" s="3">
        <v>94171.73</v>
      </c>
      <c r="N548" s="8">
        <v>62532.08</v>
      </c>
      <c r="O548" s="3">
        <v>91135.109999999986</v>
      </c>
      <c r="P548" s="8">
        <v>62612.535000000003</v>
      </c>
      <c r="Q548" s="28">
        <f t="shared" si="8"/>
        <v>768738.22500000009</v>
      </c>
    </row>
    <row r="549" spans="1:17" ht="15" customHeight="1" x14ac:dyDescent="0.2">
      <c r="A549" s="1">
        <v>754</v>
      </c>
      <c r="B549" s="7" t="s">
        <v>61</v>
      </c>
      <c r="C549" s="7" t="s">
        <v>87</v>
      </c>
      <c r="D549" s="5"/>
      <c r="E549" s="7"/>
      <c r="F549" s="2" t="s">
        <v>10</v>
      </c>
      <c r="G549" s="3">
        <v>940.13</v>
      </c>
      <c r="H549" s="3">
        <v>328.09</v>
      </c>
      <c r="I549" s="3">
        <v>773.71</v>
      </c>
      <c r="J549" s="3">
        <v>432.62</v>
      </c>
      <c r="K549" s="3">
        <v>0</v>
      </c>
      <c r="L549" s="3">
        <v>493.44</v>
      </c>
      <c r="M549" s="3">
        <v>421.23</v>
      </c>
      <c r="N549" s="8">
        <v>233.77</v>
      </c>
      <c r="O549" s="3">
        <v>533.76750000000004</v>
      </c>
      <c r="P549" s="8">
        <v>371.98</v>
      </c>
      <c r="Q549" s="28">
        <f t="shared" si="8"/>
        <v>4528.7375000000011</v>
      </c>
    </row>
    <row r="550" spans="1:17" ht="15" customHeight="1" x14ac:dyDescent="0.2">
      <c r="A550" s="1">
        <v>756</v>
      </c>
      <c r="B550" s="7" t="s">
        <v>61</v>
      </c>
      <c r="C550" s="7" t="s">
        <v>87</v>
      </c>
      <c r="D550" s="5"/>
      <c r="E550" s="2" t="s">
        <v>11</v>
      </c>
      <c r="F550" s="2" t="s">
        <v>11</v>
      </c>
      <c r="G550" s="3">
        <v>686.98</v>
      </c>
      <c r="H550" s="3">
        <v>29189.37</v>
      </c>
      <c r="I550" s="3">
        <v>430.34</v>
      </c>
      <c r="J550" s="3">
        <v>33015.42</v>
      </c>
      <c r="K550" s="3">
        <v>3103.36</v>
      </c>
      <c r="L550" s="3">
        <v>33859.910000000003</v>
      </c>
      <c r="M550" s="3">
        <v>875.51</v>
      </c>
      <c r="N550" s="8">
        <v>32954.06</v>
      </c>
      <c r="O550" s="3">
        <v>1274.0475000000001</v>
      </c>
      <c r="P550" s="8">
        <v>32254.69</v>
      </c>
      <c r="Q550" s="28">
        <f t="shared" si="8"/>
        <v>167643.6875</v>
      </c>
    </row>
    <row r="551" spans="1:17" ht="15" customHeight="1" x14ac:dyDescent="0.2">
      <c r="A551" s="1">
        <v>757</v>
      </c>
      <c r="B551" s="7" t="s">
        <v>61</v>
      </c>
      <c r="C551" s="7" t="s">
        <v>87</v>
      </c>
      <c r="D551" s="5"/>
      <c r="E551" s="2" t="s">
        <v>12</v>
      </c>
      <c r="F551" s="2" t="s">
        <v>12</v>
      </c>
      <c r="G551" s="3">
        <v>1624.36</v>
      </c>
      <c r="H551" s="3">
        <v>1705.65</v>
      </c>
      <c r="I551" s="3">
        <v>2201.84</v>
      </c>
      <c r="J551" s="3">
        <v>2950.66</v>
      </c>
      <c r="K551" s="3">
        <v>2209.58</v>
      </c>
      <c r="L551" s="3">
        <v>1623.94</v>
      </c>
      <c r="M551" s="3">
        <v>1498.87</v>
      </c>
      <c r="N551" s="8">
        <v>1553.31</v>
      </c>
      <c r="O551" s="3">
        <v>1883.6624999999999</v>
      </c>
      <c r="P551" s="8">
        <v>1958.3899999999999</v>
      </c>
      <c r="Q551" s="28">
        <f t="shared" si="8"/>
        <v>19210.262500000001</v>
      </c>
    </row>
    <row r="552" spans="1:17" ht="15" customHeight="1" x14ac:dyDescent="0.2">
      <c r="A552" s="1">
        <v>758</v>
      </c>
      <c r="B552" s="7" t="s">
        <v>61</v>
      </c>
      <c r="C552" s="7" t="s">
        <v>87</v>
      </c>
      <c r="D552" s="7"/>
      <c r="E552" s="2" t="s">
        <v>13</v>
      </c>
      <c r="F552" s="2" t="s">
        <v>13</v>
      </c>
      <c r="G552" s="3">
        <v>7406.78</v>
      </c>
      <c r="H552" s="3">
        <v>12671.66</v>
      </c>
      <c r="I552" s="3">
        <v>10448.64</v>
      </c>
      <c r="J552" s="3">
        <v>15123.86</v>
      </c>
      <c r="K552" s="3">
        <v>11248.67</v>
      </c>
      <c r="L552" s="3">
        <v>15051.98</v>
      </c>
      <c r="M552" s="3">
        <v>8498.68</v>
      </c>
      <c r="N552" s="8">
        <v>14781.17</v>
      </c>
      <c r="O552" s="3">
        <v>9400.6924999999992</v>
      </c>
      <c r="P552" s="8">
        <v>14407.1675</v>
      </c>
      <c r="Q552" s="28">
        <f t="shared" si="8"/>
        <v>119039.29999999999</v>
      </c>
    </row>
    <row r="553" spans="1:17" ht="15" customHeight="1" x14ac:dyDescent="0.2">
      <c r="A553" s="1">
        <v>759</v>
      </c>
      <c r="B553" s="7" t="s">
        <v>61</v>
      </c>
      <c r="C553" s="7" t="s">
        <v>87</v>
      </c>
      <c r="D553" s="7"/>
      <c r="E553" s="2" t="s">
        <v>14</v>
      </c>
      <c r="F553" s="2" t="s">
        <v>14</v>
      </c>
      <c r="G553" s="3">
        <v>6932.36</v>
      </c>
      <c r="H553" s="3">
        <v>9469.4599999999991</v>
      </c>
      <c r="I553" s="3">
        <v>7884.03</v>
      </c>
      <c r="J553" s="3">
        <v>7108.36</v>
      </c>
      <c r="K553" s="3">
        <v>8051.6</v>
      </c>
      <c r="L553" s="3">
        <v>9691.01</v>
      </c>
      <c r="M553" s="3">
        <v>6874.98</v>
      </c>
      <c r="N553" s="8">
        <v>9151.61</v>
      </c>
      <c r="O553" s="3">
        <v>7435.7424999999994</v>
      </c>
      <c r="P553" s="8">
        <v>8855.11</v>
      </c>
      <c r="Q553" s="28">
        <f t="shared" si="8"/>
        <v>81454.262499999997</v>
      </c>
    </row>
    <row r="554" spans="1:17" ht="15" customHeight="1" x14ac:dyDescent="0.2">
      <c r="A554" s="1">
        <v>760</v>
      </c>
      <c r="B554" s="7" t="s">
        <v>61</v>
      </c>
      <c r="C554" s="7" t="s">
        <v>88</v>
      </c>
      <c r="D554" s="26" t="s">
        <v>7</v>
      </c>
      <c r="E554" s="2"/>
      <c r="F554" s="2" t="s">
        <v>7</v>
      </c>
      <c r="G554" s="3">
        <v>193050</v>
      </c>
      <c r="H554" s="3">
        <v>207720</v>
      </c>
      <c r="I554" s="3">
        <v>193165</v>
      </c>
      <c r="J554" s="3">
        <v>207877</v>
      </c>
      <c r="K554" s="3">
        <v>193272</v>
      </c>
      <c r="L554" s="3">
        <v>208033</v>
      </c>
      <c r="M554" s="3">
        <v>193368</v>
      </c>
      <c r="N554" s="8">
        <v>208174</v>
      </c>
      <c r="O554" s="3">
        <v>193213.75</v>
      </c>
      <c r="P554" s="8">
        <v>207951</v>
      </c>
      <c r="Q554" s="28">
        <f t="shared" si="8"/>
        <v>2005823.75</v>
      </c>
    </row>
    <row r="555" spans="1:17" ht="15" customHeight="1" x14ac:dyDescent="0.2">
      <c r="A555" s="1">
        <v>762</v>
      </c>
      <c r="B555" s="7" t="s">
        <v>61</v>
      </c>
      <c r="C555" s="7" t="s">
        <v>88</v>
      </c>
      <c r="D555" s="5"/>
      <c r="E555" s="2" t="s">
        <v>8</v>
      </c>
      <c r="F555" s="2" t="s">
        <v>8</v>
      </c>
      <c r="G555" s="3">
        <v>0</v>
      </c>
      <c r="H555" s="3">
        <v>0</v>
      </c>
      <c r="I555" s="4">
        <v>0</v>
      </c>
      <c r="J555" s="4">
        <v>0</v>
      </c>
      <c r="K555" s="3">
        <v>0</v>
      </c>
      <c r="L555" s="3">
        <v>0</v>
      </c>
      <c r="M555" s="3">
        <v>0</v>
      </c>
      <c r="N555" s="8">
        <v>0</v>
      </c>
      <c r="O555" s="3">
        <v>0</v>
      </c>
      <c r="P555" s="8">
        <v>0</v>
      </c>
      <c r="Q555" s="28">
        <f t="shared" si="8"/>
        <v>0</v>
      </c>
    </row>
    <row r="556" spans="1:17" ht="15" customHeight="1" x14ac:dyDescent="0.2">
      <c r="A556" s="1">
        <v>764</v>
      </c>
      <c r="B556" s="7" t="s">
        <v>61</v>
      </c>
      <c r="C556" s="7" t="s">
        <v>88</v>
      </c>
      <c r="D556" s="5"/>
      <c r="E556" s="5"/>
      <c r="F556" s="2" t="s">
        <v>9</v>
      </c>
      <c r="G556" s="3">
        <v>161367.21</v>
      </c>
      <c r="H556" s="3">
        <v>123812.84</v>
      </c>
      <c r="I556" s="3">
        <v>162871.38</v>
      </c>
      <c r="J556" s="3">
        <v>116049.75</v>
      </c>
      <c r="K556" s="3">
        <v>162877.62</v>
      </c>
      <c r="L556" s="3">
        <v>124273.83</v>
      </c>
      <c r="M556" s="3">
        <v>162149.79</v>
      </c>
      <c r="N556" s="8">
        <v>135711.04000000001</v>
      </c>
      <c r="O556" s="3">
        <v>162316.5</v>
      </c>
      <c r="P556" s="8">
        <v>124961.86499999999</v>
      </c>
      <c r="Q556" s="28">
        <f t="shared" si="8"/>
        <v>1436391.825</v>
      </c>
    </row>
    <row r="557" spans="1:17" ht="15" customHeight="1" x14ac:dyDescent="0.2">
      <c r="A557" s="1">
        <v>765</v>
      </c>
      <c r="B557" s="7" t="s">
        <v>61</v>
      </c>
      <c r="C557" s="7" t="s">
        <v>88</v>
      </c>
      <c r="D557" s="5"/>
      <c r="E557" s="5"/>
      <c r="F557" s="2" t="s">
        <v>10</v>
      </c>
      <c r="G557" s="3">
        <v>222.75</v>
      </c>
      <c r="H557" s="3">
        <v>1948.46</v>
      </c>
      <c r="I557" s="3">
        <v>1269.79</v>
      </c>
      <c r="J557" s="3">
        <v>81.02</v>
      </c>
      <c r="K557" s="3">
        <v>433.51</v>
      </c>
      <c r="L557" s="3">
        <v>490.14</v>
      </c>
      <c r="M557" s="3">
        <v>943.26</v>
      </c>
      <c r="N557" s="8">
        <v>180.47</v>
      </c>
      <c r="O557" s="3">
        <v>717.32749999999999</v>
      </c>
      <c r="P557" s="8">
        <v>675.02249999999992</v>
      </c>
      <c r="Q557" s="28">
        <f t="shared" si="8"/>
        <v>6961.7500000000009</v>
      </c>
    </row>
    <row r="558" spans="1:17" ht="15" customHeight="1" x14ac:dyDescent="0.2">
      <c r="A558" s="1">
        <v>767</v>
      </c>
      <c r="B558" s="7" t="s">
        <v>61</v>
      </c>
      <c r="C558" s="7" t="s">
        <v>88</v>
      </c>
      <c r="D558" s="7"/>
      <c r="E558" s="2" t="s">
        <v>11</v>
      </c>
      <c r="F558" s="2" t="s">
        <v>11</v>
      </c>
      <c r="G558" s="3">
        <v>1933.28</v>
      </c>
      <c r="H558" s="3">
        <v>42880.61</v>
      </c>
      <c r="I558" s="3">
        <v>1618.03</v>
      </c>
      <c r="J558" s="3">
        <v>50475.33</v>
      </c>
      <c r="K558" s="3">
        <v>1294.78</v>
      </c>
      <c r="L558" s="3">
        <v>46626.96</v>
      </c>
      <c r="M558" s="3">
        <v>1761.65</v>
      </c>
      <c r="N558" s="8">
        <v>35738.29</v>
      </c>
      <c r="O558" s="3">
        <v>1651.9349999999999</v>
      </c>
      <c r="P558" s="8">
        <v>43930.297500000001</v>
      </c>
      <c r="Q558" s="28">
        <f t="shared" si="8"/>
        <v>227911.16249999998</v>
      </c>
    </row>
    <row r="559" spans="1:17" ht="15" customHeight="1" x14ac:dyDescent="0.2">
      <c r="A559" s="1">
        <v>768</v>
      </c>
      <c r="B559" s="7" t="s">
        <v>61</v>
      </c>
      <c r="C559" s="7" t="s">
        <v>88</v>
      </c>
      <c r="D559" s="5"/>
      <c r="E559" s="2" t="s">
        <v>12</v>
      </c>
      <c r="F559" s="2" t="s">
        <v>12</v>
      </c>
      <c r="G559" s="3">
        <v>3848.79</v>
      </c>
      <c r="H559" s="3">
        <v>3187.64</v>
      </c>
      <c r="I559" s="3">
        <v>2917.6</v>
      </c>
      <c r="J559" s="3">
        <v>2245.3000000000002</v>
      </c>
      <c r="K559" s="3">
        <v>1369.39</v>
      </c>
      <c r="L559" s="3">
        <v>950.56</v>
      </c>
      <c r="M559" s="3">
        <v>3000.19</v>
      </c>
      <c r="N559" s="8">
        <v>796.07</v>
      </c>
      <c r="O559" s="3">
        <v>2783.9924999999998</v>
      </c>
      <c r="P559" s="8">
        <v>1794.8924999999999</v>
      </c>
      <c r="Q559" s="28">
        <f t="shared" si="8"/>
        <v>22894.425000000003</v>
      </c>
    </row>
    <row r="560" spans="1:17" ht="15" customHeight="1" x14ac:dyDescent="0.2">
      <c r="A560" s="1">
        <v>769</v>
      </c>
      <c r="B560" s="7" t="s">
        <v>61</v>
      </c>
      <c r="C560" s="7" t="s">
        <v>88</v>
      </c>
      <c r="D560" s="5"/>
      <c r="E560" s="2" t="s">
        <v>13</v>
      </c>
      <c r="F560" s="2" t="s">
        <v>13</v>
      </c>
      <c r="G560" s="3">
        <v>13124.29</v>
      </c>
      <c r="H560" s="3">
        <v>18195.060000000001</v>
      </c>
      <c r="I560" s="3">
        <v>12035.58</v>
      </c>
      <c r="J560" s="3">
        <v>20044.439999999999</v>
      </c>
      <c r="K560" s="3">
        <v>13227.52</v>
      </c>
      <c r="L560" s="3">
        <v>18956.419999999998</v>
      </c>
      <c r="M560" s="3">
        <v>14170.85</v>
      </c>
      <c r="N560" s="8">
        <v>18295.48</v>
      </c>
      <c r="O560" s="3">
        <v>13139.56</v>
      </c>
      <c r="P560" s="8">
        <v>18872.849999999999</v>
      </c>
      <c r="Q560" s="28">
        <f t="shared" si="8"/>
        <v>160062.05000000002</v>
      </c>
    </row>
    <row r="561" spans="1:17" ht="15" customHeight="1" x14ac:dyDescent="0.2">
      <c r="A561" s="1">
        <v>770</v>
      </c>
      <c r="B561" s="7" t="s">
        <v>61</v>
      </c>
      <c r="C561" s="7" t="s">
        <v>88</v>
      </c>
      <c r="D561" s="5"/>
      <c r="E561" s="2" t="s">
        <v>14</v>
      </c>
      <c r="F561" s="2" t="s">
        <v>14</v>
      </c>
      <c r="G561" s="3">
        <v>12553.68</v>
      </c>
      <c r="H561" s="3">
        <v>17695.38</v>
      </c>
      <c r="I561" s="3">
        <v>12452.62</v>
      </c>
      <c r="J561" s="3">
        <v>18981.16</v>
      </c>
      <c r="K561" s="3">
        <v>14069.17</v>
      </c>
      <c r="L561" s="3">
        <v>16735.099999999999</v>
      </c>
      <c r="M561" s="3">
        <v>11342.27</v>
      </c>
      <c r="N561" s="8">
        <v>17452.650000000001</v>
      </c>
      <c r="O561" s="3">
        <v>12604.435000000001</v>
      </c>
      <c r="P561" s="8">
        <v>17716.072500000002</v>
      </c>
      <c r="Q561" s="28">
        <f t="shared" si="8"/>
        <v>151602.53750000001</v>
      </c>
    </row>
    <row r="562" spans="1:17" ht="15" customHeight="1" x14ac:dyDescent="0.2">
      <c r="A562" s="1">
        <v>771</v>
      </c>
      <c r="B562" s="7" t="s">
        <v>61</v>
      </c>
      <c r="C562" s="7" t="s">
        <v>89</v>
      </c>
      <c r="D562" s="26" t="s">
        <v>7</v>
      </c>
      <c r="E562" s="2"/>
      <c r="F562" s="2" t="s">
        <v>7</v>
      </c>
      <c r="G562" s="3">
        <v>650093</v>
      </c>
      <c r="H562" s="3">
        <v>702867</v>
      </c>
      <c r="I562" s="3">
        <v>651587</v>
      </c>
      <c r="J562" s="3">
        <v>704610</v>
      </c>
      <c r="K562" s="3">
        <v>653054</v>
      </c>
      <c r="L562" s="3">
        <v>706334</v>
      </c>
      <c r="M562" s="3">
        <v>654443</v>
      </c>
      <c r="N562" s="8">
        <v>707953</v>
      </c>
      <c r="O562" s="3">
        <v>652294.25</v>
      </c>
      <c r="P562" s="8">
        <v>705441</v>
      </c>
      <c r="Q562" s="28">
        <f t="shared" si="8"/>
        <v>6788676.25</v>
      </c>
    </row>
    <row r="563" spans="1:17" ht="15" customHeight="1" x14ac:dyDescent="0.2">
      <c r="A563" s="1">
        <v>773</v>
      </c>
      <c r="B563" s="7" t="s">
        <v>61</v>
      </c>
      <c r="C563" s="7" t="s">
        <v>89</v>
      </c>
      <c r="D563" s="7"/>
      <c r="E563" s="2" t="s">
        <v>8</v>
      </c>
      <c r="F563" s="2" t="s">
        <v>8</v>
      </c>
      <c r="G563" s="3">
        <v>0</v>
      </c>
      <c r="H563" s="3">
        <v>0</v>
      </c>
      <c r="I563" s="4">
        <v>0</v>
      </c>
      <c r="J563" s="4">
        <v>0</v>
      </c>
      <c r="K563" s="3">
        <v>0</v>
      </c>
      <c r="L563" s="3">
        <v>0</v>
      </c>
      <c r="M563" s="3">
        <v>0</v>
      </c>
      <c r="N563" s="8">
        <v>0</v>
      </c>
      <c r="O563" s="3">
        <v>0</v>
      </c>
      <c r="P563" s="8">
        <v>0</v>
      </c>
      <c r="Q563" s="28">
        <f t="shared" si="8"/>
        <v>0</v>
      </c>
    </row>
    <row r="564" spans="1:17" ht="15" customHeight="1" x14ac:dyDescent="0.2">
      <c r="A564" s="1">
        <v>775</v>
      </c>
      <c r="B564" s="7" t="s">
        <v>61</v>
      </c>
      <c r="C564" s="7" t="s">
        <v>89</v>
      </c>
      <c r="D564" s="7"/>
      <c r="E564" s="7"/>
      <c r="F564" s="2" t="s">
        <v>9</v>
      </c>
      <c r="G564" s="3">
        <v>484015.84</v>
      </c>
      <c r="H564" s="3">
        <v>440276</v>
      </c>
      <c r="I564" s="3">
        <v>471695.76</v>
      </c>
      <c r="J564" s="3">
        <v>434286.2</v>
      </c>
      <c r="K564" s="3">
        <v>483453.21</v>
      </c>
      <c r="L564" s="3">
        <v>424027.49</v>
      </c>
      <c r="M564" s="3">
        <v>488188.74</v>
      </c>
      <c r="N564" s="8">
        <v>422388.55</v>
      </c>
      <c r="O564" s="3">
        <v>481838.38750000001</v>
      </c>
      <c r="P564" s="8">
        <v>430244.56</v>
      </c>
      <c r="Q564" s="28">
        <f t="shared" si="8"/>
        <v>4560414.7374999998</v>
      </c>
    </row>
    <row r="565" spans="1:17" ht="15" customHeight="1" x14ac:dyDescent="0.2">
      <c r="A565" s="1">
        <v>776</v>
      </c>
      <c r="B565" s="7" t="s">
        <v>61</v>
      </c>
      <c r="C565" s="7" t="s">
        <v>89</v>
      </c>
      <c r="D565" s="5"/>
      <c r="E565" s="7"/>
      <c r="F565" s="2" t="s">
        <v>10</v>
      </c>
      <c r="G565" s="3">
        <v>6907.08</v>
      </c>
      <c r="H565" s="3">
        <v>4057.77</v>
      </c>
      <c r="I565" s="3">
        <v>6794.8</v>
      </c>
      <c r="J565" s="3">
        <v>7863.7</v>
      </c>
      <c r="K565" s="3">
        <v>8513.7099999999991</v>
      </c>
      <c r="L565" s="3">
        <v>8031.37</v>
      </c>
      <c r="M565" s="3">
        <v>7053.09</v>
      </c>
      <c r="N565" s="8">
        <v>7849.21</v>
      </c>
      <c r="O565" s="3">
        <v>7317.17</v>
      </c>
      <c r="P565" s="8">
        <v>6950.5124999999998</v>
      </c>
      <c r="Q565" s="28">
        <f t="shared" si="8"/>
        <v>71338.412500000006</v>
      </c>
    </row>
    <row r="566" spans="1:17" ht="15" customHeight="1" x14ac:dyDescent="0.2">
      <c r="A566" s="1">
        <v>778</v>
      </c>
      <c r="B566" s="7" t="s">
        <v>61</v>
      </c>
      <c r="C566" s="7" t="s">
        <v>89</v>
      </c>
      <c r="D566" s="5"/>
      <c r="E566" s="2" t="s">
        <v>11</v>
      </c>
      <c r="F566" s="2" t="s">
        <v>11</v>
      </c>
      <c r="G566" s="3">
        <v>4184.6899999999996</v>
      </c>
      <c r="H566" s="3">
        <v>82564.72</v>
      </c>
      <c r="I566" s="3">
        <v>5126.47</v>
      </c>
      <c r="J566" s="3">
        <v>80770.960000000006</v>
      </c>
      <c r="K566" s="3">
        <v>6129.7</v>
      </c>
      <c r="L566" s="3">
        <v>88232.14</v>
      </c>
      <c r="M566" s="3">
        <v>4311.55</v>
      </c>
      <c r="N566" s="8">
        <v>108623.9</v>
      </c>
      <c r="O566" s="3">
        <v>4938.1025</v>
      </c>
      <c r="P566" s="8">
        <v>90047.93</v>
      </c>
      <c r="Q566" s="28">
        <f t="shared" si="8"/>
        <v>474930.16249999998</v>
      </c>
    </row>
    <row r="567" spans="1:17" ht="15" customHeight="1" x14ac:dyDescent="0.2">
      <c r="A567" s="1">
        <v>779</v>
      </c>
      <c r="B567" s="7" t="s">
        <v>61</v>
      </c>
      <c r="C567" s="7" t="s">
        <v>89</v>
      </c>
      <c r="D567" s="5"/>
      <c r="E567" s="26" t="s">
        <v>12</v>
      </c>
      <c r="F567" s="2" t="s">
        <v>12</v>
      </c>
      <c r="G567" s="3">
        <v>28381.94</v>
      </c>
      <c r="H567" s="3">
        <v>16458.330000000002</v>
      </c>
      <c r="I567" s="3">
        <v>41807.08</v>
      </c>
      <c r="J567" s="3">
        <v>21611.599999999999</v>
      </c>
      <c r="K567" s="3">
        <v>25405.7</v>
      </c>
      <c r="L567" s="3">
        <v>24914.16</v>
      </c>
      <c r="M567" s="3">
        <v>34443.75</v>
      </c>
      <c r="N567" s="8">
        <v>16717.96</v>
      </c>
      <c r="O567" s="3">
        <v>32509.6175</v>
      </c>
      <c r="P567" s="8">
        <v>19925.512499999997</v>
      </c>
      <c r="Q567" s="28">
        <f t="shared" si="8"/>
        <v>262175.65000000002</v>
      </c>
    </row>
    <row r="568" spans="1:17" ht="15" customHeight="1" x14ac:dyDescent="0.2">
      <c r="A568" s="1">
        <v>780</v>
      </c>
      <c r="B568" s="7" t="s">
        <v>61</v>
      </c>
      <c r="C568" s="7" t="s">
        <v>89</v>
      </c>
      <c r="D568" s="5"/>
      <c r="E568" s="26" t="s">
        <v>13</v>
      </c>
      <c r="F568" s="2" t="s">
        <v>13</v>
      </c>
      <c r="G568" s="3">
        <v>50086.55</v>
      </c>
      <c r="H568" s="3">
        <v>77519.850000000006</v>
      </c>
      <c r="I568" s="3">
        <v>55195.09</v>
      </c>
      <c r="J568" s="3">
        <v>80015.27</v>
      </c>
      <c r="K568" s="3">
        <v>58196.54</v>
      </c>
      <c r="L568" s="3">
        <v>78416.679999999993</v>
      </c>
      <c r="M568" s="3">
        <v>55060.37</v>
      </c>
      <c r="N568" s="8">
        <v>78696.42</v>
      </c>
      <c r="O568" s="3">
        <v>54634.637499999997</v>
      </c>
      <c r="P568" s="8">
        <v>78662.054999999993</v>
      </c>
      <c r="Q568" s="28">
        <f t="shared" si="8"/>
        <v>666483.46249999991</v>
      </c>
    </row>
    <row r="569" spans="1:17" ht="15" customHeight="1" x14ac:dyDescent="0.2">
      <c r="A569" s="1">
        <v>781</v>
      </c>
      <c r="B569" s="7" t="s">
        <v>61</v>
      </c>
      <c r="C569" s="7" t="s">
        <v>89</v>
      </c>
      <c r="D569" s="7"/>
      <c r="E569" s="2" t="s">
        <v>14</v>
      </c>
      <c r="F569" s="2" t="s">
        <v>14</v>
      </c>
      <c r="G569" s="3">
        <v>76516.89</v>
      </c>
      <c r="H569" s="3">
        <v>81990.33</v>
      </c>
      <c r="I569" s="3">
        <v>70967.81</v>
      </c>
      <c r="J569" s="3">
        <v>80062.259999999995</v>
      </c>
      <c r="K569" s="3">
        <v>71355.149999999994</v>
      </c>
      <c r="L569" s="3">
        <v>82712.160000000003</v>
      </c>
      <c r="M569" s="3">
        <v>65385.5</v>
      </c>
      <c r="N569" s="8">
        <v>73676.960000000006</v>
      </c>
      <c r="O569" s="3">
        <v>71056.337499999994</v>
      </c>
      <c r="P569" s="8">
        <v>79610.427500000005</v>
      </c>
      <c r="Q569" s="28">
        <f t="shared" si="8"/>
        <v>753333.82499999995</v>
      </c>
    </row>
    <row r="570" spans="1:17" ht="15" customHeight="1" x14ac:dyDescent="0.2">
      <c r="A570" s="1">
        <v>782</v>
      </c>
      <c r="B570" s="7" t="s">
        <v>61</v>
      </c>
      <c r="C570" s="7" t="s">
        <v>90</v>
      </c>
      <c r="D570" s="26" t="s">
        <v>7</v>
      </c>
      <c r="E570" s="2"/>
      <c r="F570" s="2" t="s">
        <v>7</v>
      </c>
      <c r="G570" s="3">
        <v>114220</v>
      </c>
      <c r="H570" s="3">
        <v>123470</v>
      </c>
      <c r="I570" s="3">
        <v>114443</v>
      </c>
      <c r="J570" s="3">
        <v>123731</v>
      </c>
      <c r="K570" s="3">
        <v>114665</v>
      </c>
      <c r="L570" s="3">
        <v>123993</v>
      </c>
      <c r="M570" s="3">
        <v>114870</v>
      </c>
      <c r="N570" s="8">
        <v>124241</v>
      </c>
      <c r="O570" s="3">
        <v>114549.5</v>
      </c>
      <c r="P570" s="8">
        <v>123858.75</v>
      </c>
      <c r="Q570" s="28">
        <f t="shared" si="8"/>
        <v>1192041.25</v>
      </c>
    </row>
    <row r="571" spans="1:17" ht="15" customHeight="1" x14ac:dyDescent="0.2">
      <c r="A571" s="1">
        <v>784</v>
      </c>
      <c r="B571" s="7" t="s">
        <v>61</v>
      </c>
      <c r="C571" s="7" t="s">
        <v>90</v>
      </c>
      <c r="D571" s="5"/>
      <c r="E571" s="2" t="s">
        <v>8</v>
      </c>
      <c r="F571" s="2" t="s">
        <v>8</v>
      </c>
      <c r="G571" s="3">
        <v>0</v>
      </c>
      <c r="H571" s="3">
        <v>0</v>
      </c>
      <c r="I571" s="4">
        <v>0</v>
      </c>
      <c r="J571" s="4">
        <v>0</v>
      </c>
      <c r="K571" s="3">
        <v>0</v>
      </c>
      <c r="L571" s="3">
        <v>0</v>
      </c>
      <c r="M571" s="3">
        <v>0</v>
      </c>
      <c r="N571" s="8">
        <v>0</v>
      </c>
      <c r="O571" s="3">
        <v>0</v>
      </c>
      <c r="P571" s="8">
        <v>0</v>
      </c>
      <c r="Q571" s="28">
        <f t="shared" si="8"/>
        <v>0</v>
      </c>
    </row>
    <row r="572" spans="1:17" ht="15" customHeight="1" x14ac:dyDescent="0.2">
      <c r="A572" s="1">
        <v>786</v>
      </c>
      <c r="B572" s="7" t="s">
        <v>61</v>
      </c>
      <c r="C572" s="7" t="s">
        <v>90</v>
      </c>
      <c r="D572" s="5"/>
      <c r="E572" s="7"/>
      <c r="F572" s="2" t="s">
        <v>9</v>
      </c>
      <c r="G572" s="3">
        <v>91038.88</v>
      </c>
      <c r="H572" s="3">
        <v>70053.070000000007</v>
      </c>
      <c r="I572" s="3">
        <v>88733.51</v>
      </c>
      <c r="J572" s="3">
        <v>67072.94</v>
      </c>
      <c r="K572" s="3">
        <v>87699.96</v>
      </c>
      <c r="L572" s="3">
        <v>66009.119999999995</v>
      </c>
      <c r="M572" s="3">
        <v>91568.82</v>
      </c>
      <c r="N572" s="8">
        <v>67966.600000000006</v>
      </c>
      <c r="O572" s="3">
        <v>89760.29250000001</v>
      </c>
      <c r="P572" s="8">
        <v>67775.432499999995</v>
      </c>
      <c r="Q572" s="28">
        <f t="shared" si="8"/>
        <v>787678.625</v>
      </c>
    </row>
    <row r="573" spans="1:17" ht="15" customHeight="1" x14ac:dyDescent="0.2">
      <c r="A573" s="1">
        <v>787</v>
      </c>
      <c r="B573" s="7" t="s">
        <v>61</v>
      </c>
      <c r="C573" s="7" t="s">
        <v>90</v>
      </c>
      <c r="D573" s="5"/>
      <c r="E573" s="7"/>
      <c r="F573" s="2" t="s">
        <v>10</v>
      </c>
      <c r="G573" s="3">
        <v>1068.21</v>
      </c>
      <c r="H573" s="3">
        <v>1214.18</v>
      </c>
      <c r="I573" s="3">
        <v>1939.73</v>
      </c>
      <c r="J573" s="3">
        <v>1563.42</v>
      </c>
      <c r="K573" s="3">
        <v>1408.57</v>
      </c>
      <c r="L573" s="3">
        <v>2187.13</v>
      </c>
      <c r="M573" s="3">
        <v>1653.99</v>
      </c>
      <c r="N573" s="8">
        <v>1639.21</v>
      </c>
      <c r="O573" s="3">
        <v>1517.625</v>
      </c>
      <c r="P573" s="8">
        <v>1650.9850000000001</v>
      </c>
      <c r="Q573" s="28">
        <f t="shared" si="8"/>
        <v>15843.050000000003</v>
      </c>
    </row>
    <row r="574" spans="1:17" ht="15" customHeight="1" x14ac:dyDescent="0.2">
      <c r="A574" s="1">
        <v>789</v>
      </c>
      <c r="B574" s="7" t="s">
        <v>61</v>
      </c>
      <c r="C574" s="7" t="s">
        <v>90</v>
      </c>
      <c r="D574" s="7"/>
      <c r="E574" s="2" t="s">
        <v>11</v>
      </c>
      <c r="F574" s="2" t="s">
        <v>11</v>
      </c>
      <c r="G574" s="3">
        <v>896.04</v>
      </c>
      <c r="H574" s="3">
        <v>25629.4</v>
      </c>
      <c r="I574" s="3">
        <v>494.5</v>
      </c>
      <c r="J574" s="3">
        <v>28120.67</v>
      </c>
      <c r="K574" s="3">
        <v>883.18</v>
      </c>
      <c r="L574" s="3">
        <v>28940.1</v>
      </c>
      <c r="M574" s="3">
        <v>410.39</v>
      </c>
      <c r="N574" s="8">
        <v>29537.74</v>
      </c>
      <c r="O574" s="3">
        <v>671.02749999999992</v>
      </c>
      <c r="P574" s="8">
        <v>28056.977500000001</v>
      </c>
      <c r="Q574" s="28">
        <f t="shared" si="8"/>
        <v>143640.02499999999</v>
      </c>
    </row>
    <row r="575" spans="1:17" ht="15" customHeight="1" x14ac:dyDescent="0.2">
      <c r="A575" s="1">
        <v>790</v>
      </c>
      <c r="B575" s="7" t="s">
        <v>61</v>
      </c>
      <c r="C575" s="7" t="s">
        <v>90</v>
      </c>
      <c r="D575" s="7"/>
      <c r="E575" s="2" t="s">
        <v>12</v>
      </c>
      <c r="F575" s="2" t="s">
        <v>12</v>
      </c>
      <c r="G575" s="3">
        <v>2662.62</v>
      </c>
      <c r="H575" s="3">
        <v>2264.58</v>
      </c>
      <c r="I575" s="3">
        <v>3174.17</v>
      </c>
      <c r="J575" s="3">
        <v>2333.6999999999998</v>
      </c>
      <c r="K575" s="3">
        <v>4844.58</v>
      </c>
      <c r="L575" s="3">
        <v>2211.4499999999998</v>
      </c>
      <c r="M575" s="3">
        <v>2738.66</v>
      </c>
      <c r="N575" s="8">
        <v>1703.5</v>
      </c>
      <c r="O575" s="3">
        <v>3355.0074999999997</v>
      </c>
      <c r="P575" s="8">
        <v>2128.3074999999999</v>
      </c>
      <c r="Q575" s="28">
        <f t="shared" si="8"/>
        <v>27416.574999999997</v>
      </c>
    </row>
    <row r="576" spans="1:17" ht="15" customHeight="1" x14ac:dyDescent="0.2">
      <c r="A576" s="1">
        <v>791</v>
      </c>
      <c r="B576" s="7" t="s">
        <v>61</v>
      </c>
      <c r="C576" s="7" t="s">
        <v>90</v>
      </c>
      <c r="D576" s="5"/>
      <c r="E576" s="2" t="s">
        <v>13</v>
      </c>
      <c r="F576" s="2" t="s">
        <v>13</v>
      </c>
      <c r="G576" s="3">
        <v>9219.24</v>
      </c>
      <c r="H576" s="3">
        <v>15394.73</v>
      </c>
      <c r="I576" s="3">
        <v>10982.82</v>
      </c>
      <c r="J576" s="3">
        <v>14967.62</v>
      </c>
      <c r="K576" s="3">
        <v>11641.79</v>
      </c>
      <c r="L576" s="3">
        <v>14528.25</v>
      </c>
      <c r="M576" s="3">
        <v>11434.12</v>
      </c>
      <c r="N576" s="8">
        <v>14345.22</v>
      </c>
      <c r="O576" s="3">
        <v>10819.4925</v>
      </c>
      <c r="P576" s="8">
        <v>14808.955</v>
      </c>
      <c r="Q576" s="28">
        <f t="shared" si="8"/>
        <v>128142.2375</v>
      </c>
    </row>
    <row r="577" spans="1:17" ht="15" customHeight="1" x14ac:dyDescent="0.2">
      <c r="A577" s="1">
        <v>792</v>
      </c>
      <c r="B577" s="7" t="s">
        <v>61</v>
      </c>
      <c r="C577" s="7" t="s">
        <v>90</v>
      </c>
      <c r="D577" s="5"/>
      <c r="E577" s="2" t="s">
        <v>14</v>
      </c>
      <c r="F577" s="2" t="s">
        <v>14</v>
      </c>
      <c r="G577" s="3">
        <v>9335.02</v>
      </c>
      <c r="H577" s="3">
        <v>8914.0300000000007</v>
      </c>
      <c r="I577" s="3">
        <v>9118.27</v>
      </c>
      <c r="J577" s="3">
        <v>9672.66</v>
      </c>
      <c r="K577" s="3">
        <v>8186.91</v>
      </c>
      <c r="L577" s="3">
        <v>10116.950000000001</v>
      </c>
      <c r="M577" s="3">
        <v>7064.03</v>
      </c>
      <c r="N577" s="8">
        <v>9048.73</v>
      </c>
      <c r="O577" s="3">
        <v>8426.0575000000008</v>
      </c>
      <c r="P577" s="8">
        <v>9438.0925000000007</v>
      </c>
      <c r="Q577" s="28">
        <f t="shared" si="8"/>
        <v>89320.749999999985</v>
      </c>
    </row>
    <row r="578" spans="1:17" ht="15" customHeight="1" x14ac:dyDescent="0.2">
      <c r="A578" s="1">
        <v>793</v>
      </c>
      <c r="B578" s="7" t="s">
        <v>61</v>
      </c>
      <c r="C578" s="7" t="s">
        <v>91</v>
      </c>
      <c r="D578" s="26" t="s">
        <v>7</v>
      </c>
      <c r="E578" s="26"/>
      <c r="F578" s="2" t="s">
        <v>7</v>
      </c>
      <c r="G578" s="3">
        <v>241976</v>
      </c>
      <c r="H578" s="3">
        <v>261430</v>
      </c>
      <c r="I578" s="3">
        <v>242126</v>
      </c>
      <c r="J578" s="3">
        <v>261644</v>
      </c>
      <c r="K578" s="3">
        <v>242268</v>
      </c>
      <c r="L578" s="3">
        <v>261846</v>
      </c>
      <c r="M578" s="3">
        <v>242383</v>
      </c>
      <c r="N578" s="8">
        <v>262021</v>
      </c>
      <c r="O578" s="3">
        <v>242188.25</v>
      </c>
      <c r="P578" s="8">
        <v>261735.25</v>
      </c>
      <c r="Q578" s="28">
        <f t="shared" si="8"/>
        <v>2519617.5</v>
      </c>
    </row>
    <row r="579" spans="1:17" ht="15" customHeight="1" x14ac:dyDescent="0.2">
      <c r="A579" s="1">
        <v>795</v>
      </c>
      <c r="B579" s="7" t="s">
        <v>61</v>
      </c>
      <c r="C579" s="7" t="s">
        <v>91</v>
      </c>
      <c r="D579" s="5"/>
      <c r="E579" s="26" t="s">
        <v>8</v>
      </c>
      <c r="F579" s="2" t="s">
        <v>8</v>
      </c>
      <c r="G579" s="3">
        <v>0</v>
      </c>
      <c r="H579" s="3">
        <v>0</v>
      </c>
      <c r="I579" s="4">
        <v>0</v>
      </c>
      <c r="J579" s="3">
        <v>65.650000000000006</v>
      </c>
      <c r="K579" s="3">
        <v>0</v>
      </c>
      <c r="L579" s="3">
        <v>0</v>
      </c>
      <c r="M579" s="3">
        <v>0</v>
      </c>
      <c r="N579" s="8">
        <v>0</v>
      </c>
      <c r="O579" s="3">
        <v>0</v>
      </c>
      <c r="P579" s="8">
        <v>16.412500000000001</v>
      </c>
      <c r="Q579" s="28">
        <f t="shared" ref="Q579:Q617" si="9">SUM(G579:P579)</f>
        <v>82.0625</v>
      </c>
    </row>
    <row r="580" spans="1:17" ht="15" customHeight="1" x14ac:dyDescent="0.2">
      <c r="A580" s="1">
        <v>797</v>
      </c>
      <c r="B580" s="7" t="s">
        <v>61</v>
      </c>
      <c r="C580" s="7" t="s">
        <v>91</v>
      </c>
      <c r="D580" s="7"/>
      <c r="E580" s="7"/>
      <c r="F580" s="2" t="s">
        <v>9</v>
      </c>
      <c r="G580" s="3">
        <v>196884.22</v>
      </c>
      <c r="H580" s="3">
        <v>169730.97</v>
      </c>
      <c r="I580" s="3">
        <v>197094.19</v>
      </c>
      <c r="J580" s="3">
        <v>168708.82</v>
      </c>
      <c r="K580" s="3">
        <v>201246.33</v>
      </c>
      <c r="L580" s="3">
        <v>171244.43</v>
      </c>
      <c r="M580" s="3">
        <v>193127.84</v>
      </c>
      <c r="N580" s="8">
        <v>172180.2</v>
      </c>
      <c r="O580" s="3">
        <v>197088.14499999999</v>
      </c>
      <c r="P580" s="8">
        <v>170466.10500000001</v>
      </c>
      <c r="Q580" s="28">
        <f t="shared" si="9"/>
        <v>1837771.25</v>
      </c>
    </row>
    <row r="581" spans="1:17" ht="15" customHeight="1" x14ac:dyDescent="0.2">
      <c r="A581" s="1">
        <v>798</v>
      </c>
      <c r="B581" s="7" t="s">
        <v>61</v>
      </c>
      <c r="C581" s="7" t="s">
        <v>91</v>
      </c>
      <c r="D581" s="5"/>
      <c r="E581" s="7"/>
      <c r="F581" s="2" t="s">
        <v>10</v>
      </c>
      <c r="G581" s="3">
        <v>747.25</v>
      </c>
      <c r="H581" s="3">
        <v>1052.3</v>
      </c>
      <c r="I581" s="3">
        <v>1459.89</v>
      </c>
      <c r="J581" s="3">
        <v>732.77</v>
      </c>
      <c r="K581" s="3">
        <v>196.19</v>
      </c>
      <c r="L581" s="3">
        <v>2222.38</v>
      </c>
      <c r="M581" s="3">
        <v>2486.29</v>
      </c>
      <c r="N581" s="8">
        <v>2440.0500000000002</v>
      </c>
      <c r="O581" s="3">
        <v>1222.4050000000002</v>
      </c>
      <c r="P581" s="8">
        <v>1611.875</v>
      </c>
      <c r="Q581" s="28">
        <f t="shared" si="9"/>
        <v>14171.4</v>
      </c>
    </row>
    <row r="582" spans="1:17" ht="15" customHeight="1" x14ac:dyDescent="0.2">
      <c r="A582" s="1">
        <v>800</v>
      </c>
      <c r="B582" s="7" t="s">
        <v>61</v>
      </c>
      <c r="C582" s="7" t="s">
        <v>91</v>
      </c>
      <c r="D582" s="5"/>
      <c r="E582" s="2" t="s">
        <v>11</v>
      </c>
      <c r="F582" s="2" t="s">
        <v>11</v>
      </c>
      <c r="G582" s="3">
        <v>1020.14</v>
      </c>
      <c r="H582" s="3">
        <v>43357.3</v>
      </c>
      <c r="I582" s="3">
        <v>1440.27</v>
      </c>
      <c r="J582" s="3">
        <v>41977.24</v>
      </c>
      <c r="K582" s="3">
        <v>137.44</v>
      </c>
      <c r="L582" s="3">
        <v>40457.58</v>
      </c>
      <c r="M582" s="3">
        <v>2838.05</v>
      </c>
      <c r="N582" s="8">
        <v>39378.239999999998</v>
      </c>
      <c r="O582" s="3">
        <v>1358.9749999999999</v>
      </c>
      <c r="P582" s="8">
        <v>41292.590000000004</v>
      </c>
      <c r="Q582" s="28">
        <f t="shared" si="9"/>
        <v>213257.82499999998</v>
      </c>
    </row>
    <row r="583" spans="1:17" ht="15" customHeight="1" x14ac:dyDescent="0.2">
      <c r="A583" s="1">
        <v>801</v>
      </c>
      <c r="B583" s="7" t="s">
        <v>61</v>
      </c>
      <c r="C583" s="7" t="s">
        <v>91</v>
      </c>
      <c r="D583" s="5"/>
      <c r="E583" s="2" t="s">
        <v>12</v>
      </c>
      <c r="F583" s="2" t="s">
        <v>12</v>
      </c>
      <c r="G583" s="3">
        <v>4443.3599999999997</v>
      </c>
      <c r="H583" s="3">
        <v>3352.78</v>
      </c>
      <c r="I583" s="3">
        <v>5392.99</v>
      </c>
      <c r="J583" s="3">
        <v>5129.93</v>
      </c>
      <c r="K583" s="3">
        <v>3494.79</v>
      </c>
      <c r="L583" s="3">
        <v>3034.78</v>
      </c>
      <c r="M583" s="3">
        <v>3709.96</v>
      </c>
      <c r="N583" s="8">
        <v>3706.3</v>
      </c>
      <c r="O583" s="3">
        <v>4260.2749999999996</v>
      </c>
      <c r="P583" s="8">
        <v>3805.9475000000002</v>
      </c>
      <c r="Q583" s="28">
        <f t="shared" si="9"/>
        <v>40331.112499999996</v>
      </c>
    </row>
    <row r="584" spans="1:17" ht="15" customHeight="1" x14ac:dyDescent="0.2">
      <c r="A584" s="1">
        <v>802</v>
      </c>
      <c r="B584" s="7" t="s">
        <v>61</v>
      </c>
      <c r="C584" s="7" t="s">
        <v>91</v>
      </c>
      <c r="D584" s="5"/>
      <c r="E584" s="2" t="s">
        <v>13</v>
      </c>
      <c r="F584" s="2" t="s">
        <v>13</v>
      </c>
      <c r="G584" s="3">
        <v>21109.21</v>
      </c>
      <c r="H584" s="3">
        <v>21031.93</v>
      </c>
      <c r="I584" s="3">
        <v>19712.84</v>
      </c>
      <c r="J584" s="3">
        <v>23281.23</v>
      </c>
      <c r="K584" s="3">
        <v>19116.21</v>
      </c>
      <c r="L584" s="3">
        <v>23166.83</v>
      </c>
      <c r="M584" s="3">
        <v>19218.73</v>
      </c>
      <c r="N584" s="8">
        <v>23707.33</v>
      </c>
      <c r="O584" s="3">
        <v>19789.247500000001</v>
      </c>
      <c r="P584" s="8">
        <v>22796.83</v>
      </c>
      <c r="Q584" s="28">
        <f t="shared" si="9"/>
        <v>212930.38750000001</v>
      </c>
    </row>
    <row r="585" spans="1:17" ht="15" customHeight="1" x14ac:dyDescent="0.2">
      <c r="A585" s="1">
        <v>803</v>
      </c>
      <c r="B585" s="7" t="s">
        <v>61</v>
      </c>
      <c r="C585" s="7" t="s">
        <v>91</v>
      </c>
      <c r="D585" s="7"/>
      <c r="E585" s="2" t="s">
        <v>14</v>
      </c>
      <c r="F585" s="2" t="s">
        <v>14</v>
      </c>
      <c r="G585" s="3">
        <v>17771.82</v>
      </c>
      <c r="H585" s="3">
        <v>22904.720000000001</v>
      </c>
      <c r="I585" s="3">
        <v>17025.830000000002</v>
      </c>
      <c r="J585" s="3">
        <v>21748.36</v>
      </c>
      <c r="K585" s="3">
        <v>18077.03</v>
      </c>
      <c r="L585" s="3">
        <v>21720</v>
      </c>
      <c r="M585" s="3">
        <v>21002.14</v>
      </c>
      <c r="N585" s="8">
        <v>20608.87</v>
      </c>
      <c r="O585" s="3">
        <v>18469.205000000002</v>
      </c>
      <c r="P585" s="8">
        <v>21745.487499999999</v>
      </c>
      <c r="Q585" s="28">
        <f t="shared" si="9"/>
        <v>201073.46250000002</v>
      </c>
    </row>
    <row r="586" spans="1:17" ht="15" customHeight="1" x14ac:dyDescent="0.2">
      <c r="A586" s="1">
        <v>804</v>
      </c>
      <c r="B586" s="7" t="s">
        <v>61</v>
      </c>
      <c r="C586" s="7" t="s">
        <v>92</v>
      </c>
      <c r="D586" s="2" t="s">
        <v>7</v>
      </c>
      <c r="E586" s="2"/>
      <c r="F586" s="2" t="s">
        <v>7</v>
      </c>
      <c r="G586" s="3">
        <v>186932</v>
      </c>
      <c r="H586" s="3">
        <v>202266</v>
      </c>
      <c r="I586" s="3">
        <v>186989</v>
      </c>
      <c r="J586" s="3">
        <v>202361</v>
      </c>
      <c r="K586" s="3">
        <v>187032</v>
      </c>
      <c r="L586" s="3">
        <v>202448</v>
      </c>
      <c r="M586" s="3">
        <v>187062</v>
      </c>
      <c r="N586" s="8">
        <v>202511</v>
      </c>
      <c r="O586" s="3">
        <v>187003.75</v>
      </c>
      <c r="P586" s="8">
        <v>202396.5</v>
      </c>
      <c r="Q586" s="28">
        <f t="shared" si="9"/>
        <v>1947001.25</v>
      </c>
    </row>
    <row r="587" spans="1:17" ht="15" customHeight="1" x14ac:dyDescent="0.2">
      <c r="A587" s="1">
        <v>806</v>
      </c>
      <c r="B587" s="7" t="s">
        <v>61</v>
      </c>
      <c r="C587" s="7" t="s">
        <v>92</v>
      </c>
      <c r="D587" s="5"/>
      <c r="E587" s="2" t="s">
        <v>8</v>
      </c>
      <c r="F587" s="2" t="s">
        <v>8</v>
      </c>
      <c r="G587" s="3">
        <v>0</v>
      </c>
      <c r="H587" s="3">
        <v>0</v>
      </c>
      <c r="I587" s="4">
        <v>0</v>
      </c>
      <c r="J587" s="4">
        <v>0</v>
      </c>
      <c r="K587" s="3">
        <v>0</v>
      </c>
      <c r="L587" s="3">
        <v>0</v>
      </c>
      <c r="M587" s="3">
        <v>222.86</v>
      </c>
      <c r="N587" s="8">
        <v>429.72</v>
      </c>
      <c r="O587" s="3">
        <v>55.715000000000003</v>
      </c>
      <c r="P587" s="8">
        <v>107.43</v>
      </c>
      <c r="Q587" s="28">
        <f t="shared" si="9"/>
        <v>815.72500000000014</v>
      </c>
    </row>
    <row r="588" spans="1:17" ht="15" customHeight="1" x14ac:dyDescent="0.2">
      <c r="A588" s="1">
        <v>808</v>
      </c>
      <c r="B588" s="7" t="s">
        <v>61</v>
      </c>
      <c r="C588" s="7" t="s">
        <v>92</v>
      </c>
      <c r="D588" s="5"/>
      <c r="E588" s="7"/>
      <c r="F588" s="2" t="s">
        <v>9</v>
      </c>
      <c r="G588" s="3">
        <v>148561.76999999999</v>
      </c>
      <c r="H588" s="3">
        <v>136051.24</v>
      </c>
      <c r="I588" s="3">
        <v>148250.79999999999</v>
      </c>
      <c r="J588" s="3">
        <v>135893.76000000001</v>
      </c>
      <c r="K588" s="3">
        <v>146447.06</v>
      </c>
      <c r="L588" s="3">
        <v>133236.76999999999</v>
      </c>
      <c r="M588" s="3">
        <v>147215.76999999999</v>
      </c>
      <c r="N588" s="8">
        <v>127762.64</v>
      </c>
      <c r="O588" s="3">
        <v>147618.84999999998</v>
      </c>
      <c r="P588" s="8">
        <v>133236.10250000001</v>
      </c>
      <c r="Q588" s="28">
        <f t="shared" si="9"/>
        <v>1404274.7625000002</v>
      </c>
    </row>
    <row r="589" spans="1:17" ht="15" customHeight="1" x14ac:dyDescent="0.2">
      <c r="A589" s="1">
        <v>809</v>
      </c>
      <c r="B589" s="7" t="s">
        <v>61</v>
      </c>
      <c r="C589" s="7" t="s">
        <v>92</v>
      </c>
      <c r="D589" s="5"/>
      <c r="E589" s="5"/>
      <c r="F589" s="2" t="s">
        <v>10</v>
      </c>
      <c r="G589" s="3">
        <v>0</v>
      </c>
      <c r="H589" s="3">
        <v>2236.73</v>
      </c>
      <c r="I589" s="4"/>
      <c r="J589" s="3">
        <v>3392.74</v>
      </c>
      <c r="K589" s="3">
        <v>579.23</v>
      </c>
      <c r="L589" s="3">
        <v>2246.86</v>
      </c>
      <c r="M589" s="3">
        <v>2326.6</v>
      </c>
      <c r="N589" s="8">
        <v>1415.93</v>
      </c>
      <c r="O589" s="3">
        <v>726.45749999999998</v>
      </c>
      <c r="P589" s="8">
        <v>2323.0650000000001</v>
      </c>
      <c r="Q589" s="28">
        <f t="shared" si="9"/>
        <v>15247.612500000001</v>
      </c>
    </row>
    <row r="590" spans="1:17" ht="15" customHeight="1" x14ac:dyDescent="0.2">
      <c r="A590" s="1">
        <v>811</v>
      </c>
      <c r="B590" s="7" t="s">
        <v>61</v>
      </c>
      <c r="C590" s="7" t="s">
        <v>92</v>
      </c>
      <c r="D590" s="5"/>
      <c r="E590" s="26" t="s">
        <v>11</v>
      </c>
      <c r="F590" s="2" t="s">
        <v>11</v>
      </c>
      <c r="G590" s="3">
        <v>379.22</v>
      </c>
      <c r="H590" s="3">
        <v>20486.03</v>
      </c>
      <c r="I590" s="3">
        <v>320.20999999999998</v>
      </c>
      <c r="J590" s="3">
        <v>22071.4</v>
      </c>
      <c r="K590" s="3">
        <v>354.03</v>
      </c>
      <c r="L590" s="3">
        <v>23264.52</v>
      </c>
      <c r="M590" s="3">
        <v>588.6</v>
      </c>
      <c r="N590" s="8">
        <v>24927.96</v>
      </c>
      <c r="O590" s="3">
        <v>410.51499999999999</v>
      </c>
      <c r="P590" s="8">
        <v>22687.477500000001</v>
      </c>
      <c r="Q590" s="28">
        <f t="shared" si="9"/>
        <v>115489.96249999999</v>
      </c>
    </row>
    <row r="591" spans="1:17" ht="15" customHeight="1" x14ac:dyDescent="0.2">
      <c r="A591" s="1">
        <v>812</v>
      </c>
      <c r="B591" s="7" t="s">
        <v>61</v>
      </c>
      <c r="C591" s="7" t="s">
        <v>92</v>
      </c>
      <c r="D591" s="7"/>
      <c r="E591" s="2" t="s">
        <v>12</v>
      </c>
      <c r="F591" s="2" t="s">
        <v>12</v>
      </c>
      <c r="G591" s="3">
        <v>5682.52</v>
      </c>
      <c r="H591" s="3">
        <v>4380.28</v>
      </c>
      <c r="I591" s="3">
        <v>4280.83</v>
      </c>
      <c r="J591" s="3">
        <v>4558.33</v>
      </c>
      <c r="K591" s="3">
        <v>4391.2</v>
      </c>
      <c r="L591" s="3">
        <v>3601.76</v>
      </c>
      <c r="M591" s="3">
        <v>5401.2</v>
      </c>
      <c r="N591" s="8">
        <v>3571.71</v>
      </c>
      <c r="O591" s="3">
        <v>4938.9375</v>
      </c>
      <c r="P591" s="8">
        <v>4028.0200000000004</v>
      </c>
      <c r="Q591" s="28">
        <f t="shared" si="9"/>
        <v>44834.787500000006</v>
      </c>
    </row>
    <row r="592" spans="1:17" ht="15" customHeight="1" x14ac:dyDescent="0.2">
      <c r="A592" s="1">
        <v>813</v>
      </c>
      <c r="B592" s="7" t="s">
        <v>61</v>
      </c>
      <c r="C592" s="7" t="s">
        <v>92</v>
      </c>
      <c r="D592" s="5"/>
      <c r="E592" s="2" t="s">
        <v>13</v>
      </c>
      <c r="F592" s="2" t="s">
        <v>13</v>
      </c>
      <c r="G592" s="3">
        <v>15808.94</v>
      </c>
      <c r="H592" s="3">
        <v>21792.59</v>
      </c>
      <c r="I592" s="3">
        <v>16737.98</v>
      </c>
      <c r="J592" s="3">
        <v>21184.3</v>
      </c>
      <c r="K592" s="3">
        <v>18235.71</v>
      </c>
      <c r="L592" s="3">
        <v>22279.34</v>
      </c>
      <c r="M592" s="3">
        <v>16612.16</v>
      </c>
      <c r="N592" s="8">
        <v>23546.74</v>
      </c>
      <c r="O592" s="3">
        <v>16848.697499999998</v>
      </c>
      <c r="P592" s="8">
        <v>22200.7425</v>
      </c>
      <c r="Q592" s="28">
        <f t="shared" si="9"/>
        <v>195247.19999999998</v>
      </c>
    </row>
    <row r="593" spans="1:17" ht="15" customHeight="1" x14ac:dyDescent="0.2">
      <c r="A593" s="1">
        <v>814</v>
      </c>
      <c r="B593" s="7" t="s">
        <v>61</v>
      </c>
      <c r="C593" s="7" t="s">
        <v>92</v>
      </c>
      <c r="D593" s="5"/>
      <c r="E593" s="2" t="s">
        <v>14</v>
      </c>
      <c r="F593" s="2" t="s">
        <v>14</v>
      </c>
      <c r="G593" s="3">
        <v>16499.55</v>
      </c>
      <c r="H593" s="3">
        <v>17319.12</v>
      </c>
      <c r="I593" s="3">
        <v>17399.18</v>
      </c>
      <c r="J593" s="3">
        <v>15260.47</v>
      </c>
      <c r="K593" s="3">
        <v>17024.77</v>
      </c>
      <c r="L593" s="3">
        <v>17818.740000000002</v>
      </c>
      <c r="M593" s="3">
        <v>14694.81</v>
      </c>
      <c r="N593" s="8">
        <v>20856.3</v>
      </c>
      <c r="O593" s="3">
        <v>16404.577499999999</v>
      </c>
      <c r="P593" s="8">
        <v>17813.657500000001</v>
      </c>
      <c r="Q593" s="28">
        <f t="shared" si="9"/>
        <v>171091.17500000002</v>
      </c>
    </row>
    <row r="594" spans="1:17" ht="15" customHeight="1" x14ac:dyDescent="0.2">
      <c r="A594" s="1">
        <v>815</v>
      </c>
      <c r="B594" s="7" t="s">
        <v>61</v>
      </c>
      <c r="C594" s="7" t="s">
        <v>93</v>
      </c>
      <c r="D594" s="26" t="s">
        <v>7</v>
      </c>
      <c r="E594" s="2"/>
      <c r="F594" s="2" t="s">
        <v>7</v>
      </c>
      <c r="G594" s="3">
        <v>247747</v>
      </c>
      <c r="H594" s="3">
        <v>267925</v>
      </c>
      <c r="I594" s="3">
        <v>247995</v>
      </c>
      <c r="J594" s="3">
        <v>268248</v>
      </c>
      <c r="K594" s="3">
        <v>248236</v>
      </c>
      <c r="L594" s="3">
        <v>268558</v>
      </c>
      <c r="M594" s="3">
        <v>248457</v>
      </c>
      <c r="N594" s="8">
        <v>268846</v>
      </c>
      <c r="O594" s="3">
        <v>248108.75</v>
      </c>
      <c r="P594" s="8">
        <v>268394.25</v>
      </c>
      <c r="Q594" s="28">
        <f t="shared" si="9"/>
        <v>2582515</v>
      </c>
    </row>
    <row r="595" spans="1:17" ht="15" customHeight="1" x14ac:dyDescent="0.2">
      <c r="A595" s="1">
        <v>817</v>
      </c>
      <c r="B595" s="7" t="s">
        <v>61</v>
      </c>
      <c r="C595" s="7" t="s">
        <v>93</v>
      </c>
      <c r="D595" s="5"/>
      <c r="E595" s="2" t="s">
        <v>8</v>
      </c>
      <c r="F595" s="2" t="s">
        <v>8</v>
      </c>
      <c r="G595" s="3">
        <v>0</v>
      </c>
      <c r="H595" s="3">
        <v>0</v>
      </c>
      <c r="I595" s="4">
        <v>0</v>
      </c>
      <c r="J595" s="4">
        <v>0</v>
      </c>
      <c r="K595" s="3">
        <v>0</v>
      </c>
      <c r="L595" s="3">
        <v>0</v>
      </c>
      <c r="M595" s="3">
        <v>0</v>
      </c>
      <c r="N595" s="8">
        <v>0</v>
      </c>
      <c r="O595" s="3">
        <v>0</v>
      </c>
      <c r="P595" s="8">
        <v>0</v>
      </c>
      <c r="Q595" s="28">
        <f t="shared" si="9"/>
        <v>0</v>
      </c>
    </row>
    <row r="596" spans="1:17" ht="15" customHeight="1" x14ac:dyDescent="0.2">
      <c r="A596" s="1">
        <v>819</v>
      </c>
      <c r="B596" s="7" t="s">
        <v>61</v>
      </c>
      <c r="C596" s="7" t="s">
        <v>93</v>
      </c>
      <c r="D596" s="7"/>
      <c r="E596" s="7"/>
      <c r="F596" s="2" t="s">
        <v>9</v>
      </c>
      <c r="G596" s="3">
        <v>194023.16</v>
      </c>
      <c r="H596" s="3">
        <v>155206.29999999999</v>
      </c>
      <c r="I596" s="3">
        <v>192699.7</v>
      </c>
      <c r="J596" s="3">
        <v>150375.29</v>
      </c>
      <c r="K596" s="3">
        <v>190302.89</v>
      </c>
      <c r="L596" s="3">
        <v>147712.07</v>
      </c>
      <c r="M596" s="3">
        <v>197715.56</v>
      </c>
      <c r="N596" s="8">
        <v>154580.32</v>
      </c>
      <c r="O596" s="3">
        <v>193685.32750000001</v>
      </c>
      <c r="P596" s="8">
        <v>151968.495</v>
      </c>
      <c r="Q596" s="28">
        <f t="shared" si="9"/>
        <v>1728269.1125000003</v>
      </c>
    </row>
    <row r="597" spans="1:17" ht="15" customHeight="1" x14ac:dyDescent="0.2">
      <c r="A597" s="1">
        <v>820</v>
      </c>
      <c r="B597" s="7" t="s">
        <v>61</v>
      </c>
      <c r="C597" s="7" t="s">
        <v>93</v>
      </c>
      <c r="D597" s="7"/>
      <c r="E597" s="7"/>
      <c r="F597" s="2" t="s">
        <v>10</v>
      </c>
      <c r="G597" s="3">
        <v>4863.2700000000004</v>
      </c>
      <c r="H597" s="3">
        <v>4178.12</v>
      </c>
      <c r="I597" s="3">
        <v>2571.5300000000002</v>
      </c>
      <c r="J597" s="3">
        <v>4161.1400000000003</v>
      </c>
      <c r="K597" s="3">
        <v>1132.67</v>
      </c>
      <c r="L597" s="3">
        <v>4643.6499999999996</v>
      </c>
      <c r="M597" s="3">
        <v>1031.93</v>
      </c>
      <c r="N597" s="8">
        <v>1970.26</v>
      </c>
      <c r="O597" s="3">
        <v>2399.8500000000004</v>
      </c>
      <c r="P597" s="8">
        <v>3738.2925</v>
      </c>
      <c r="Q597" s="28">
        <f t="shared" si="9"/>
        <v>30690.712500000005</v>
      </c>
    </row>
    <row r="598" spans="1:17" ht="15" customHeight="1" x14ac:dyDescent="0.2">
      <c r="A598" s="1">
        <v>822</v>
      </c>
      <c r="B598" s="7" t="s">
        <v>61</v>
      </c>
      <c r="C598" s="7" t="s">
        <v>93</v>
      </c>
      <c r="D598" s="5"/>
      <c r="E598" s="2" t="s">
        <v>11</v>
      </c>
      <c r="F598" s="2" t="s">
        <v>11</v>
      </c>
      <c r="G598" s="3">
        <v>1651</v>
      </c>
      <c r="H598" s="3">
        <v>49007.14</v>
      </c>
      <c r="I598" s="3">
        <v>638.98</v>
      </c>
      <c r="J598" s="3">
        <v>51471.28</v>
      </c>
      <c r="K598" s="3">
        <v>1510.84</v>
      </c>
      <c r="L598" s="3">
        <v>55845.54</v>
      </c>
      <c r="M598" s="3">
        <v>424.71</v>
      </c>
      <c r="N598" s="8">
        <v>51527.63</v>
      </c>
      <c r="O598" s="3">
        <v>1056.3824999999999</v>
      </c>
      <c r="P598" s="8">
        <v>51962.897499999999</v>
      </c>
      <c r="Q598" s="28">
        <f t="shared" si="9"/>
        <v>265096.40000000002</v>
      </c>
    </row>
    <row r="599" spans="1:17" ht="15" customHeight="1" x14ac:dyDescent="0.2">
      <c r="A599" s="1">
        <v>823</v>
      </c>
      <c r="B599" s="7" t="s">
        <v>61</v>
      </c>
      <c r="C599" s="7" t="s">
        <v>93</v>
      </c>
      <c r="D599" s="5"/>
      <c r="E599" s="2" t="s">
        <v>12</v>
      </c>
      <c r="F599" s="2" t="s">
        <v>12</v>
      </c>
      <c r="G599" s="3">
        <v>7921.29</v>
      </c>
      <c r="H599" s="3">
        <v>4005.28</v>
      </c>
      <c r="I599" s="3">
        <v>8055.39</v>
      </c>
      <c r="J599" s="3">
        <v>3566.48</v>
      </c>
      <c r="K599" s="3">
        <v>6222.63</v>
      </c>
      <c r="L599" s="3">
        <v>2340.96</v>
      </c>
      <c r="M599" s="3">
        <v>4646.72</v>
      </c>
      <c r="N599" s="8">
        <v>2665.15</v>
      </c>
      <c r="O599" s="3">
        <v>6711.5075000000006</v>
      </c>
      <c r="P599" s="8">
        <v>3144.4675000000002</v>
      </c>
      <c r="Q599" s="28">
        <f t="shared" si="9"/>
        <v>49279.875</v>
      </c>
    </row>
    <row r="600" spans="1:17" ht="15" customHeight="1" x14ac:dyDescent="0.2">
      <c r="A600" s="1">
        <v>824</v>
      </c>
      <c r="B600" s="7" t="s">
        <v>61</v>
      </c>
      <c r="C600" s="7" t="s">
        <v>93</v>
      </c>
      <c r="D600" s="5"/>
      <c r="E600" s="26" t="s">
        <v>13</v>
      </c>
      <c r="F600" s="2" t="s">
        <v>13</v>
      </c>
      <c r="G600" s="3">
        <v>22794.17</v>
      </c>
      <c r="H600" s="3">
        <v>30356.17</v>
      </c>
      <c r="I600" s="3">
        <v>26146.639999999999</v>
      </c>
      <c r="J600" s="3">
        <v>34708.949999999997</v>
      </c>
      <c r="K600" s="3">
        <v>27252.51</v>
      </c>
      <c r="L600" s="3">
        <v>34154.46</v>
      </c>
      <c r="M600" s="3">
        <v>23701.73</v>
      </c>
      <c r="N600" s="8">
        <v>34925.089999999997</v>
      </c>
      <c r="O600" s="3">
        <v>24973.762499999997</v>
      </c>
      <c r="P600" s="8">
        <v>33536.167499999996</v>
      </c>
      <c r="Q600" s="28">
        <f t="shared" si="9"/>
        <v>292549.64999999997</v>
      </c>
    </row>
    <row r="601" spans="1:17" ht="15" customHeight="1" x14ac:dyDescent="0.2">
      <c r="A601" s="1">
        <v>825</v>
      </c>
      <c r="B601" s="7" t="s">
        <v>61</v>
      </c>
      <c r="C601" s="7" t="s">
        <v>93</v>
      </c>
      <c r="D601" s="5"/>
      <c r="E601" s="26" t="s">
        <v>14</v>
      </c>
      <c r="F601" s="2" t="s">
        <v>14</v>
      </c>
      <c r="G601" s="3">
        <v>16494.12</v>
      </c>
      <c r="H601" s="3">
        <v>25172</v>
      </c>
      <c r="I601" s="3">
        <v>17882.77</v>
      </c>
      <c r="J601" s="3">
        <v>23964.86</v>
      </c>
      <c r="K601" s="3">
        <v>21814.46</v>
      </c>
      <c r="L601" s="3">
        <v>23861.32</v>
      </c>
      <c r="M601" s="3">
        <v>20936.37</v>
      </c>
      <c r="N601" s="8">
        <v>23177.57</v>
      </c>
      <c r="O601" s="3">
        <v>19281.93</v>
      </c>
      <c r="P601" s="8">
        <v>24043.9375</v>
      </c>
      <c r="Q601" s="28">
        <f t="shared" si="9"/>
        <v>216629.33749999999</v>
      </c>
    </row>
    <row r="602" spans="1:17" ht="15" customHeight="1" x14ac:dyDescent="0.2">
      <c r="A602" s="1">
        <v>826</v>
      </c>
      <c r="B602" s="7" t="s">
        <v>61</v>
      </c>
      <c r="C602" s="7" t="s">
        <v>94</v>
      </c>
      <c r="D602" s="2" t="s">
        <v>7</v>
      </c>
      <c r="E602" s="2"/>
      <c r="F602" s="2" t="s">
        <v>7</v>
      </c>
      <c r="G602" s="3">
        <v>183514</v>
      </c>
      <c r="H602" s="3">
        <v>198580</v>
      </c>
      <c r="I602" s="3">
        <v>183851</v>
      </c>
      <c r="J602" s="3">
        <v>198991</v>
      </c>
      <c r="K602" s="3">
        <v>184188</v>
      </c>
      <c r="L602" s="3">
        <v>199386</v>
      </c>
      <c r="M602" s="3">
        <v>184498</v>
      </c>
      <c r="N602" s="8">
        <v>199761</v>
      </c>
      <c r="O602" s="3">
        <v>184012.75</v>
      </c>
      <c r="P602" s="8">
        <v>199179.5</v>
      </c>
      <c r="Q602" s="28">
        <f t="shared" si="9"/>
        <v>1915961.25</v>
      </c>
    </row>
    <row r="603" spans="1:17" ht="15" customHeight="1" x14ac:dyDescent="0.2">
      <c r="A603" s="1">
        <v>828</v>
      </c>
      <c r="B603" s="7" t="s">
        <v>61</v>
      </c>
      <c r="C603" s="7" t="s">
        <v>94</v>
      </c>
      <c r="D603" s="5"/>
      <c r="E603" s="2" t="s">
        <v>8</v>
      </c>
      <c r="F603" s="2" t="s">
        <v>8</v>
      </c>
      <c r="G603" s="3">
        <v>261.77</v>
      </c>
      <c r="H603" s="3">
        <v>0</v>
      </c>
      <c r="I603" s="4">
        <v>0</v>
      </c>
      <c r="J603" s="4">
        <v>0</v>
      </c>
      <c r="K603" s="3">
        <v>0</v>
      </c>
      <c r="L603" s="3">
        <v>0</v>
      </c>
      <c r="M603" s="3">
        <v>0</v>
      </c>
      <c r="N603" s="8">
        <v>0</v>
      </c>
      <c r="O603" s="3">
        <v>65.442499999999995</v>
      </c>
      <c r="P603" s="8">
        <v>0</v>
      </c>
      <c r="Q603" s="28">
        <f t="shared" si="9"/>
        <v>327.21249999999998</v>
      </c>
    </row>
    <row r="604" spans="1:17" ht="15" customHeight="1" x14ac:dyDescent="0.2">
      <c r="A604" s="1">
        <v>830</v>
      </c>
      <c r="B604" s="7" t="s">
        <v>61</v>
      </c>
      <c r="C604" s="7" t="s">
        <v>94</v>
      </c>
      <c r="D604" s="5"/>
      <c r="E604" s="7"/>
      <c r="F604" s="2" t="s">
        <v>9</v>
      </c>
      <c r="G604" s="3">
        <v>142875.41</v>
      </c>
      <c r="H604" s="3">
        <v>115493.56</v>
      </c>
      <c r="I604" s="3">
        <v>143858.34</v>
      </c>
      <c r="J604" s="3">
        <v>113821.52</v>
      </c>
      <c r="K604" s="3">
        <v>146211.57999999999</v>
      </c>
      <c r="L604" s="3">
        <v>118187.94</v>
      </c>
      <c r="M604" s="3">
        <v>147568.23000000001</v>
      </c>
      <c r="N604" s="8">
        <v>118181.15</v>
      </c>
      <c r="O604" s="3">
        <v>145128.38999999998</v>
      </c>
      <c r="P604" s="8">
        <v>116421.04250000001</v>
      </c>
      <c r="Q604" s="28">
        <f t="shared" si="9"/>
        <v>1307747.1625000001</v>
      </c>
    </row>
    <row r="605" spans="1:17" ht="15" customHeight="1" x14ac:dyDescent="0.2">
      <c r="A605" s="1">
        <v>831</v>
      </c>
      <c r="B605" s="7" t="s">
        <v>61</v>
      </c>
      <c r="C605" s="7" t="s">
        <v>94</v>
      </c>
      <c r="D605" s="5"/>
      <c r="E605" s="7"/>
      <c r="F605" s="2" t="s">
        <v>10</v>
      </c>
      <c r="G605" s="3">
        <v>1084.81</v>
      </c>
      <c r="H605" s="3">
        <v>1078.1099999999999</v>
      </c>
      <c r="I605" s="3">
        <v>1274.1600000000001</v>
      </c>
      <c r="J605" s="3">
        <v>1864.33</v>
      </c>
      <c r="K605" s="3">
        <v>1596.28</v>
      </c>
      <c r="L605" s="3">
        <v>754.44</v>
      </c>
      <c r="M605" s="3">
        <v>756.32</v>
      </c>
      <c r="N605" s="8">
        <v>1065.51</v>
      </c>
      <c r="O605" s="3">
        <v>1177.8924999999999</v>
      </c>
      <c r="P605" s="8">
        <v>1190.5974999999999</v>
      </c>
      <c r="Q605" s="28">
        <f t="shared" si="9"/>
        <v>11842.449999999999</v>
      </c>
    </row>
    <row r="606" spans="1:17" ht="15" customHeight="1" x14ac:dyDescent="0.2">
      <c r="A606" s="1">
        <v>833</v>
      </c>
      <c r="B606" s="7" t="s">
        <v>61</v>
      </c>
      <c r="C606" s="7" t="s">
        <v>94</v>
      </c>
      <c r="D606" s="5"/>
      <c r="E606" s="2" t="s">
        <v>11</v>
      </c>
      <c r="F606" s="2" t="s">
        <v>11</v>
      </c>
      <c r="G606" s="3">
        <v>488.71</v>
      </c>
      <c r="H606" s="3">
        <v>40440.01</v>
      </c>
      <c r="I606" s="3">
        <v>606.20000000000005</v>
      </c>
      <c r="J606" s="3">
        <v>33519.120000000003</v>
      </c>
      <c r="K606" s="3">
        <v>589.39</v>
      </c>
      <c r="L606" s="3">
        <v>34796.15</v>
      </c>
      <c r="M606" s="3">
        <v>140.44</v>
      </c>
      <c r="N606" s="8">
        <v>39685.03</v>
      </c>
      <c r="O606" s="3">
        <v>456.18500000000006</v>
      </c>
      <c r="P606" s="8">
        <v>37110.077499999999</v>
      </c>
      <c r="Q606" s="28">
        <f t="shared" si="9"/>
        <v>187831.3125</v>
      </c>
    </row>
    <row r="607" spans="1:17" ht="15" customHeight="1" x14ac:dyDescent="0.2">
      <c r="A607" s="1">
        <v>834</v>
      </c>
      <c r="B607" s="7" t="s">
        <v>61</v>
      </c>
      <c r="C607" s="7" t="s">
        <v>94</v>
      </c>
      <c r="D607" s="7"/>
      <c r="E607" s="2" t="s">
        <v>12</v>
      </c>
      <c r="F607" s="2" t="s">
        <v>12</v>
      </c>
      <c r="G607" s="3">
        <v>3966.1</v>
      </c>
      <c r="H607" s="3">
        <v>2174.29</v>
      </c>
      <c r="I607" s="3">
        <v>4828.33</v>
      </c>
      <c r="J607" s="3">
        <v>1550.56</v>
      </c>
      <c r="K607" s="3">
        <v>4482.16</v>
      </c>
      <c r="L607" s="3">
        <v>2884.02</v>
      </c>
      <c r="M607" s="3">
        <v>3693.5</v>
      </c>
      <c r="N607" s="8">
        <v>3041.66</v>
      </c>
      <c r="O607" s="3">
        <v>4242.5225</v>
      </c>
      <c r="P607" s="8">
        <v>2412.6324999999997</v>
      </c>
      <c r="Q607" s="28">
        <f t="shared" si="9"/>
        <v>33275.774999999994</v>
      </c>
    </row>
    <row r="608" spans="1:17" ht="15" customHeight="1" x14ac:dyDescent="0.2">
      <c r="A608" s="1">
        <v>835</v>
      </c>
      <c r="B608" s="7" t="s">
        <v>61</v>
      </c>
      <c r="C608" s="7" t="s">
        <v>94</v>
      </c>
      <c r="D608" s="7"/>
      <c r="E608" s="2" t="s">
        <v>13</v>
      </c>
      <c r="F608" s="2" t="s">
        <v>13</v>
      </c>
      <c r="G608" s="3">
        <v>14657.54</v>
      </c>
      <c r="H608" s="3">
        <v>18884.740000000002</v>
      </c>
      <c r="I608" s="3">
        <v>14349.34</v>
      </c>
      <c r="J608" s="3">
        <v>24945.73</v>
      </c>
      <c r="K608" s="3">
        <v>11939.3</v>
      </c>
      <c r="L608" s="3">
        <v>19887.2</v>
      </c>
      <c r="M608" s="3">
        <v>11983.51</v>
      </c>
      <c r="N608" s="8">
        <v>16716.89</v>
      </c>
      <c r="O608" s="3">
        <v>13232.422500000001</v>
      </c>
      <c r="P608" s="8">
        <v>20108.64</v>
      </c>
      <c r="Q608" s="28">
        <f t="shared" si="9"/>
        <v>166705.3125</v>
      </c>
    </row>
    <row r="609" spans="1:17" ht="15" customHeight="1" x14ac:dyDescent="0.2">
      <c r="A609" s="1">
        <v>836</v>
      </c>
      <c r="B609" s="7" t="s">
        <v>61</v>
      </c>
      <c r="C609" s="7" t="s">
        <v>94</v>
      </c>
      <c r="D609" s="5"/>
      <c r="E609" s="2" t="s">
        <v>14</v>
      </c>
      <c r="F609" s="2" t="s">
        <v>14</v>
      </c>
      <c r="G609" s="3">
        <v>20179.66</v>
      </c>
      <c r="H609" s="3">
        <v>20509.28</v>
      </c>
      <c r="I609" s="3">
        <v>18934.63</v>
      </c>
      <c r="J609" s="3">
        <v>23289.75</v>
      </c>
      <c r="K609" s="3">
        <v>19369.29</v>
      </c>
      <c r="L609" s="3">
        <v>22876.25</v>
      </c>
      <c r="M609" s="3">
        <v>20355.990000000002</v>
      </c>
      <c r="N609" s="8">
        <v>21070.76</v>
      </c>
      <c r="O609" s="3">
        <v>19709.892500000002</v>
      </c>
      <c r="P609" s="8">
        <v>21936.51</v>
      </c>
      <c r="Q609" s="28">
        <f t="shared" si="9"/>
        <v>208232.01250000001</v>
      </c>
    </row>
    <row r="610" spans="1:17" ht="15" customHeight="1" x14ac:dyDescent="0.2">
      <c r="A610" s="1">
        <v>837</v>
      </c>
      <c r="B610" s="7" t="s">
        <v>61</v>
      </c>
      <c r="C610" s="7" t="s">
        <v>95</v>
      </c>
      <c r="D610" s="26" t="s">
        <v>7</v>
      </c>
      <c r="E610" s="2"/>
      <c r="F610" s="2" t="s">
        <v>7</v>
      </c>
      <c r="G610" s="3">
        <v>280870</v>
      </c>
      <c r="H610" s="3">
        <v>303874</v>
      </c>
      <c r="I610" s="3">
        <v>281292</v>
      </c>
      <c r="J610" s="3">
        <v>304400</v>
      </c>
      <c r="K610" s="3">
        <v>281714</v>
      </c>
      <c r="L610" s="3">
        <v>304906</v>
      </c>
      <c r="M610" s="3">
        <v>282093</v>
      </c>
      <c r="N610" s="8">
        <v>305373</v>
      </c>
      <c r="O610" s="3">
        <v>281492.25</v>
      </c>
      <c r="P610" s="8">
        <v>304638.25</v>
      </c>
      <c r="Q610" s="28">
        <f t="shared" si="9"/>
        <v>2930652.5</v>
      </c>
    </row>
    <row r="611" spans="1:17" ht="15" customHeight="1" x14ac:dyDescent="0.2">
      <c r="A611" s="1">
        <v>839</v>
      </c>
      <c r="B611" s="7" t="s">
        <v>61</v>
      </c>
      <c r="C611" s="7" t="s">
        <v>95</v>
      </c>
      <c r="D611" s="5"/>
      <c r="E611" s="26" t="s">
        <v>8</v>
      </c>
      <c r="F611" s="2" t="s">
        <v>8</v>
      </c>
      <c r="G611" s="3">
        <v>0</v>
      </c>
      <c r="H611" s="3">
        <v>0</v>
      </c>
      <c r="I611" s="4">
        <v>0</v>
      </c>
      <c r="J611" s="4">
        <v>0</v>
      </c>
      <c r="K611" s="3">
        <v>0</v>
      </c>
      <c r="L611" s="3">
        <v>0</v>
      </c>
      <c r="M611" s="3">
        <v>0</v>
      </c>
      <c r="N611" s="8">
        <v>0</v>
      </c>
      <c r="O611" s="3">
        <v>0</v>
      </c>
      <c r="P611" s="8">
        <v>0</v>
      </c>
      <c r="Q611" s="28">
        <f t="shared" si="9"/>
        <v>0</v>
      </c>
    </row>
    <row r="612" spans="1:17" ht="15" customHeight="1" x14ac:dyDescent="0.2">
      <c r="A612" s="1">
        <v>841</v>
      </c>
      <c r="B612" s="7" t="s">
        <v>61</v>
      </c>
      <c r="C612" s="7" t="s">
        <v>95</v>
      </c>
      <c r="D612" s="5"/>
      <c r="E612" s="5"/>
      <c r="F612" s="2" t="s">
        <v>9</v>
      </c>
      <c r="G612" s="3">
        <v>208422.47</v>
      </c>
      <c r="H612" s="3">
        <v>156188.14000000001</v>
      </c>
      <c r="I612" s="3">
        <v>205422.02</v>
      </c>
      <c r="J612" s="3">
        <v>147385.94</v>
      </c>
      <c r="K612" s="3">
        <v>205792.15</v>
      </c>
      <c r="L612" s="3">
        <v>143856.46</v>
      </c>
      <c r="M612" s="3">
        <v>210829.43</v>
      </c>
      <c r="N612" s="8">
        <v>151237.92000000001</v>
      </c>
      <c r="O612" s="3">
        <v>207616.51750000002</v>
      </c>
      <c r="P612" s="8">
        <v>149667.11500000002</v>
      </c>
      <c r="Q612" s="28">
        <f t="shared" si="9"/>
        <v>1786418.1625000001</v>
      </c>
    </row>
    <row r="613" spans="1:17" ht="15" customHeight="1" x14ac:dyDescent="0.2">
      <c r="A613" s="1">
        <v>842</v>
      </c>
      <c r="B613" s="7" t="s">
        <v>61</v>
      </c>
      <c r="C613" s="7" t="s">
        <v>95</v>
      </c>
      <c r="D613" s="7"/>
      <c r="E613" s="7"/>
      <c r="F613" s="2" t="s">
        <v>10</v>
      </c>
      <c r="G613" s="3">
        <v>10359.92</v>
      </c>
      <c r="H613" s="3">
        <v>8103.5</v>
      </c>
      <c r="I613" s="3">
        <v>9148.76</v>
      </c>
      <c r="J613" s="3">
        <v>9456.84</v>
      </c>
      <c r="K613" s="3">
        <v>11730.89</v>
      </c>
      <c r="L613" s="3">
        <v>8780.1200000000008</v>
      </c>
      <c r="M613" s="3">
        <v>8162.62</v>
      </c>
      <c r="N613" s="8">
        <v>3612.44</v>
      </c>
      <c r="O613" s="3">
        <v>9850.5475000000006</v>
      </c>
      <c r="P613" s="8">
        <v>7488.2249999999995</v>
      </c>
      <c r="Q613" s="28">
        <f t="shared" si="9"/>
        <v>86693.862500000017</v>
      </c>
    </row>
    <row r="614" spans="1:17" ht="15" customHeight="1" x14ac:dyDescent="0.2">
      <c r="A614" s="1">
        <v>844</v>
      </c>
      <c r="B614" s="7" t="s">
        <v>61</v>
      </c>
      <c r="C614" s="7" t="s">
        <v>95</v>
      </c>
      <c r="D614" s="5"/>
      <c r="E614" s="2" t="s">
        <v>11</v>
      </c>
      <c r="F614" s="2" t="s">
        <v>11</v>
      </c>
      <c r="G614" s="3">
        <v>529.65</v>
      </c>
      <c r="H614" s="3">
        <v>72017.45</v>
      </c>
      <c r="I614" s="3">
        <v>1026.8800000000001</v>
      </c>
      <c r="J614" s="3">
        <v>74651.56</v>
      </c>
      <c r="K614" s="3">
        <v>483.49</v>
      </c>
      <c r="L614" s="3">
        <v>78878.740000000005</v>
      </c>
      <c r="M614" s="3">
        <v>397.31</v>
      </c>
      <c r="N614" s="8">
        <v>78533.919999999998</v>
      </c>
      <c r="O614" s="3">
        <v>609.3325000000001</v>
      </c>
      <c r="P614" s="8">
        <v>76020.417499999996</v>
      </c>
      <c r="Q614" s="28">
        <f t="shared" si="9"/>
        <v>383148.74999999994</v>
      </c>
    </row>
    <row r="615" spans="1:17" ht="15" customHeight="1" x14ac:dyDescent="0.2">
      <c r="A615" s="1">
        <v>845</v>
      </c>
      <c r="B615" s="7" t="s">
        <v>61</v>
      </c>
      <c r="C615" s="7" t="s">
        <v>95</v>
      </c>
      <c r="D615" s="5"/>
      <c r="E615" s="2" t="s">
        <v>12</v>
      </c>
      <c r="F615" s="2" t="s">
        <v>12</v>
      </c>
      <c r="G615" s="3">
        <v>8189.05</v>
      </c>
      <c r="H615" s="3">
        <v>5942.26</v>
      </c>
      <c r="I615" s="3">
        <v>9371.2199999999993</v>
      </c>
      <c r="J615" s="3">
        <v>7034.25</v>
      </c>
      <c r="K615" s="3">
        <v>7188.84</v>
      </c>
      <c r="L615" s="3">
        <v>4316.07</v>
      </c>
      <c r="M615" s="3">
        <v>10458.4</v>
      </c>
      <c r="N615" s="8">
        <v>5774.92</v>
      </c>
      <c r="O615" s="3">
        <v>8801.8775000000005</v>
      </c>
      <c r="P615" s="8">
        <v>5766.875</v>
      </c>
      <c r="Q615" s="28">
        <f t="shared" si="9"/>
        <v>72843.762499999997</v>
      </c>
    </row>
    <row r="616" spans="1:17" ht="15" customHeight="1" x14ac:dyDescent="0.2">
      <c r="A616" s="1">
        <v>846</v>
      </c>
      <c r="B616" s="7" t="s">
        <v>61</v>
      </c>
      <c r="C616" s="7" t="s">
        <v>95</v>
      </c>
      <c r="D616" s="5" t="s">
        <v>42</v>
      </c>
      <c r="E616" s="2" t="s">
        <v>13</v>
      </c>
      <c r="F616" s="2" t="s">
        <v>13</v>
      </c>
      <c r="G616" s="3">
        <v>32429.65</v>
      </c>
      <c r="H616" s="3">
        <v>38094.97</v>
      </c>
      <c r="I616" s="3">
        <v>33429.64</v>
      </c>
      <c r="J616" s="3">
        <v>44140.93</v>
      </c>
      <c r="K616" s="3">
        <v>36756.76</v>
      </c>
      <c r="L616" s="3">
        <v>46480.2</v>
      </c>
      <c r="M616" s="3">
        <v>31631.32</v>
      </c>
      <c r="N616" s="8">
        <v>42409.65</v>
      </c>
      <c r="O616" s="3">
        <v>33561.842500000006</v>
      </c>
      <c r="P616" s="8">
        <v>42781.4375</v>
      </c>
      <c r="Q616" s="28">
        <f t="shared" si="9"/>
        <v>381716.40000000008</v>
      </c>
    </row>
    <row r="617" spans="1:17" ht="15" customHeight="1" x14ac:dyDescent="0.2">
      <c r="A617" s="1">
        <v>847</v>
      </c>
      <c r="B617" s="7" t="s">
        <v>61</v>
      </c>
      <c r="C617" s="7" t="s">
        <v>95</v>
      </c>
      <c r="D617" s="5"/>
      <c r="E617" s="2" t="s">
        <v>14</v>
      </c>
      <c r="F617" s="2" t="s">
        <v>14</v>
      </c>
      <c r="G617" s="3">
        <v>20939.27</v>
      </c>
      <c r="H617" s="3">
        <v>23527.68</v>
      </c>
      <c r="I617" s="3">
        <v>22893.48</v>
      </c>
      <c r="J617" s="3">
        <v>21730.48</v>
      </c>
      <c r="K617" s="3">
        <v>19761.87</v>
      </c>
      <c r="L617" s="3">
        <v>22594.42</v>
      </c>
      <c r="M617" s="3">
        <v>20613.93</v>
      </c>
      <c r="N617" s="8">
        <v>23804.15</v>
      </c>
      <c r="O617" s="3">
        <v>21052.137499999997</v>
      </c>
      <c r="P617" s="8">
        <v>22914.182500000003</v>
      </c>
      <c r="Q617" s="28">
        <f t="shared" si="9"/>
        <v>219831.59999999998</v>
      </c>
    </row>
    <row r="618" spans="1:17" ht="15" customHeight="1" x14ac:dyDescent="0.2">
      <c r="B618" s="6"/>
      <c r="C618" s="6"/>
      <c r="D618" s="6"/>
      <c r="E618" s="6"/>
      <c r="F618" s="6" t="s">
        <v>134</v>
      </c>
      <c r="G618" s="29">
        <f>SUM(G2:G617)</f>
        <v>56067666.030000009</v>
      </c>
      <c r="H618" s="29">
        <f t="shared" ref="H618:K618" si="10">SUM(H2:H617)</f>
        <v>61547445.990000077</v>
      </c>
      <c r="I618" s="29">
        <f t="shared" si="10"/>
        <v>56135114.780000053</v>
      </c>
      <c r="J618" s="29">
        <f t="shared" si="10"/>
        <v>61637570.069999985</v>
      </c>
      <c r="K618" s="29">
        <f t="shared" si="10"/>
        <v>56198548.009999998</v>
      </c>
      <c r="L618" s="29">
        <f>SUM(L2:L617)</f>
        <v>61724686.049999975</v>
      </c>
      <c r="M618" s="29">
        <f t="shared" ref="M618" si="11">SUM(M2:M617)</f>
        <v>56254110.069999948</v>
      </c>
      <c r="N618" s="29">
        <f t="shared" ref="N618" si="12">SUM(N2:N617)</f>
        <v>61800614.010000005</v>
      </c>
      <c r="O618" s="29">
        <f t="shared" ref="O618" si="13">SUM(O2:O617)</f>
        <v>56163859.722500026</v>
      </c>
      <c r="P618" s="29">
        <f t="shared" ref="P618" si="14">SUM(P2:P617)</f>
        <v>61677579.029999971</v>
      </c>
    </row>
    <row r="619" spans="1:17" ht="15" customHeight="1" x14ac:dyDescent="0.2">
      <c r="F619" s="1" t="s">
        <v>135</v>
      </c>
      <c r="G619" s="27">
        <f>AVERAGE(G2:G617)</f>
        <v>91018.938360389628</v>
      </c>
      <c r="H619" s="27">
        <f t="shared" ref="H619:P619" si="15">AVERAGE(H2:H617)</f>
        <v>99914.685048701416</v>
      </c>
      <c r="I619" s="27">
        <f t="shared" si="15"/>
        <v>91425.268371335595</v>
      </c>
      <c r="J619" s="27">
        <f t="shared" si="15"/>
        <v>100223.69117073169</v>
      </c>
      <c r="K619" s="27">
        <f t="shared" si="15"/>
        <v>91231.409107142856</v>
      </c>
      <c r="L619" s="27">
        <f t="shared" si="15"/>
        <v>100202.41241883113</v>
      </c>
      <c r="M619" s="27">
        <f t="shared" si="15"/>
        <v>91321.607256493429</v>
      </c>
      <c r="N619" s="27">
        <f t="shared" si="15"/>
        <v>100325.67209415586</v>
      </c>
      <c r="O619" s="27">
        <f t="shared" si="15"/>
        <v>91175.096952110427</v>
      </c>
      <c r="P619" s="27">
        <f t="shared" si="15"/>
        <v>100125.93998376619</v>
      </c>
    </row>
    <row r="620" spans="1:17" ht="15" customHeight="1" x14ac:dyDescent="0.2">
      <c r="F620" s="1" t="s">
        <v>136</v>
      </c>
      <c r="G620" s="27">
        <f>MIN(G2:G617)</f>
        <v>0</v>
      </c>
      <c r="H620" s="27">
        <f t="shared" ref="H620:P620" si="16">MIN(H2:H617)</f>
        <v>0</v>
      </c>
      <c r="I620" s="27">
        <f t="shared" si="16"/>
        <v>0</v>
      </c>
      <c r="J620" s="27">
        <f t="shared" si="16"/>
        <v>0</v>
      </c>
      <c r="K620" s="27">
        <f t="shared" si="16"/>
        <v>0</v>
      </c>
      <c r="L620" s="27">
        <f t="shared" si="16"/>
        <v>0</v>
      </c>
      <c r="M620" s="27">
        <f t="shared" si="16"/>
        <v>0</v>
      </c>
      <c r="N620" s="27">
        <f t="shared" si="16"/>
        <v>0</v>
      </c>
      <c r="O620" s="27">
        <f t="shared" si="16"/>
        <v>0</v>
      </c>
      <c r="P620" s="27">
        <f t="shared" si="16"/>
        <v>0</v>
      </c>
    </row>
    <row r="621" spans="1:17" ht="15" customHeight="1" x14ac:dyDescent="0.2">
      <c r="F621" s="1" t="s">
        <v>137</v>
      </c>
      <c r="G621" s="27">
        <f>MAX(G2:G617)</f>
        <v>3732560</v>
      </c>
      <c r="H621" s="27">
        <f t="shared" ref="H621:P621" si="17">MAX(H2:H617)</f>
        <v>4135630.01</v>
      </c>
      <c r="I621" s="27">
        <f t="shared" si="17"/>
        <v>3734947</v>
      </c>
      <c r="J621" s="27">
        <f t="shared" si="17"/>
        <v>4138775</v>
      </c>
      <c r="K621" s="27">
        <f t="shared" si="17"/>
        <v>3736550</v>
      </c>
      <c r="L621" s="27">
        <f t="shared" si="17"/>
        <v>4141755</v>
      </c>
      <c r="M621" s="27">
        <f t="shared" si="17"/>
        <v>3737854</v>
      </c>
      <c r="N621" s="27">
        <f t="shared" si="17"/>
        <v>4143807</v>
      </c>
      <c r="O621" s="27">
        <f t="shared" si="17"/>
        <v>3735477.75</v>
      </c>
      <c r="P621" s="27">
        <f t="shared" si="17"/>
        <v>4139991.7524999999</v>
      </c>
    </row>
    <row r="622" spans="1:17" ht="15" customHeight="1" x14ac:dyDescent="0.2">
      <c r="F622" s="1" t="s">
        <v>138</v>
      </c>
      <c r="G622" s="30">
        <f>STDEV(G2:G617)</f>
        <v>239992.83883344746</v>
      </c>
      <c r="H622" s="30">
        <f t="shared" ref="H622:P622" si="18">STDEV(H2:H617)</f>
        <v>249086.8444648248</v>
      </c>
      <c r="I622" s="30">
        <f t="shared" si="18"/>
        <v>240641.14169209564</v>
      </c>
      <c r="J622" s="30">
        <f t="shared" si="18"/>
        <v>249311.5942813014</v>
      </c>
      <c r="K622" s="30">
        <f t="shared" si="18"/>
        <v>240334.39682769476</v>
      </c>
      <c r="L622" s="30">
        <f t="shared" si="18"/>
        <v>248878.1487623167</v>
      </c>
      <c r="M622" s="30">
        <f t="shared" si="18"/>
        <v>241342.62172691032</v>
      </c>
      <c r="N622" s="30">
        <f t="shared" si="18"/>
        <v>249742.25913517535</v>
      </c>
      <c r="O622" s="30">
        <f t="shared" si="18"/>
        <v>240474.0406553591</v>
      </c>
      <c r="P622" s="30">
        <f t="shared" si="18"/>
        <v>249175.96815114471</v>
      </c>
    </row>
  </sheetData>
  <autoFilter ref="A1:P1" xr:uid="{00000000-0001-0000-0000-000000000000}">
    <sortState xmlns:xlrd2="http://schemas.microsoft.com/office/spreadsheetml/2017/richdata2" ref="A2:P618">
      <sortCondition ref="A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86EC-87FD-4269-8E4C-52A726DE0BCC}">
  <dimension ref="A1:C16"/>
  <sheetViews>
    <sheetView workbookViewId="0">
      <selection activeCell="C7" sqref="C7"/>
    </sheetView>
  </sheetViews>
  <sheetFormatPr defaultRowHeight="15" x14ac:dyDescent="0.25"/>
  <cols>
    <col min="1" max="1" width="8.28515625" style="12" customWidth="1"/>
    <col min="2" max="2" width="36.7109375" style="12" customWidth="1"/>
    <col min="3" max="3" width="52.7109375" style="12" customWidth="1"/>
    <col min="4" max="16384" width="9.140625" style="12"/>
  </cols>
  <sheetData>
    <row r="1" spans="1:3" ht="24" x14ac:dyDescent="0.55000000000000004">
      <c r="A1" s="11" t="s">
        <v>96</v>
      </c>
      <c r="B1" s="11" t="s">
        <v>97</v>
      </c>
      <c r="C1" s="11" t="s">
        <v>98</v>
      </c>
    </row>
    <row r="2" spans="1:3" s="15" customFormat="1" ht="24" x14ac:dyDescent="0.55000000000000004">
      <c r="A2" s="13">
        <v>1</v>
      </c>
      <c r="B2" s="14" t="s">
        <v>99</v>
      </c>
      <c r="C2" s="14" t="s">
        <v>100</v>
      </c>
    </row>
    <row r="3" spans="1:3" s="15" customFormat="1" ht="24" x14ac:dyDescent="0.25">
      <c r="A3" s="16">
        <v>2</v>
      </c>
      <c r="B3" s="17" t="s">
        <v>101</v>
      </c>
      <c r="C3" s="18" t="s">
        <v>102</v>
      </c>
    </row>
    <row r="4" spans="1:3" s="15" customFormat="1" ht="48" x14ac:dyDescent="0.25">
      <c r="A4" s="16">
        <v>3</v>
      </c>
      <c r="B4" s="17" t="s">
        <v>103</v>
      </c>
      <c r="C4" s="18" t="s">
        <v>104</v>
      </c>
    </row>
    <row r="5" spans="1:3" s="15" customFormat="1" ht="48" x14ac:dyDescent="0.25">
      <c r="A5" s="16">
        <v>4</v>
      </c>
      <c r="B5" s="17" t="s">
        <v>105</v>
      </c>
      <c r="C5" s="18" t="s">
        <v>106</v>
      </c>
    </row>
    <row r="6" spans="1:3" s="15" customFormat="1" ht="24" x14ac:dyDescent="0.55000000000000004">
      <c r="A6" s="16">
        <v>5</v>
      </c>
      <c r="B6" s="14" t="s">
        <v>107</v>
      </c>
      <c r="C6" s="19" t="s">
        <v>108</v>
      </c>
    </row>
    <row r="7" spans="1:3" s="15" customFormat="1" ht="24" x14ac:dyDescent="0.25">
      <c r="A7" s="16">
        <v>6</v>
      </c>
      <c r="B7" s="17" t="s">
        <v>109</v>
      </c>
      <c r="C7" s="18" t="s">
        <v>110</v>
      </c>
    </row>
    <row r="8" spans="1:3" s="15" customFormat="1" ht="24" x14ac:dyDescent="0.25">
      <c r="A8" s="16">
        <v>7</v>
      </c>
      <c r="B8" s="17" t="s">
        <v>98</v>
      </c>
      <c r="C8" s="18"/>
    </row>
    <row r="9" spans="1:3" s="15" customFormat="1" ht="72" x14ac:dyDescent="0.55000000000000004">
      <c r="A9" s="16">
        <v>8</v>
      </c>
      <c r="B9" s="17" t="s">
        <v>111</v>
      </c>
      <c r="C9" s="20" t="s">
        <v>112</v>
      </c>
    </row>
    <row r="10" spans="1:3" s="15" customFormat="1" ht="24" x14ac:dyDescent="0.25">
      <c r="A10" s="16">
        <v>9.1</v>
      </c>
      <c r="B10" s="17" t="s">
        <v>113</v>
      </c>
      <c r="C10" s="18" t="s">
        <v>114</v>
      </c>
    </row>
    <row r="11" spans="1:3" s="15" customFormat="1" ht="24" x14ac:dyDescent="0.55000000000000004">
      <c r="A11" s="16">
        <v>9.1999999999999993</v>
      </c>
      <c r="B11" s="14" t="s">
        <v>115</v>
      </c>
      <c r="C11" s="21">
        <v>1</v>
      </c>
    </row>
    <row r="12" spans="1:3" s="15" customFormat="1" ht="24" x14ac:dyDescent="0.25">
      <c r="A12" s="16">
        <v>10</v>
      </c>
      <c r="B12" s="17" t="s">
        <v>116</v>
      </c>
      <c r="C12" s="18" t="s">
        <v>1</v>
      </c>
    </row>
    <row r="13" spans="1:3" s="15" customFormat="1" ht="48" x14ac:dyDescent="0.25">
      <c r="A13" s="16">
        <v>11</v>
      </c>
      <c r="B13" s="17" t="s">
        <v>117</v>
      </c>
      <c r="C13" s="18" t="s">
        <v>118</v>
      </c>
    </row>
    <row r="14" spans="1:3" s="15" customFormat="1" ht="24" x14ac:dyDescent="0.25">
      <c r="A14" s="16">
        <v>12</v>
      </c>
      <c r="B14" s="17" t="s">
        <v>119</v>
      </c>
      <c r="C14" s="18" t="s">
        <v>120</v>
      </c>
    </row>
    <row r="15" spans="1:3" s="15" customFormat="1" ht="24" x14ac:dyDescent="0.55000000000000004">
      <c r="A15" s="16">
        <v>13</v>
      </c>
      <c r="B15" s="14" t="s">
        <v>121</v>
      </c>
      <c r="C15" s="14" t="s">
        <v>122</v>
      </c>
    </row>
    <row r="16" spans="1:3" s="15" customFormat="1" ht="24" x14ac:dyDescent="0.55000000000000004">
      <c r="A16" s="22">
        <v>14</v>
      </c>
      <c r="B16" s="23" t="s">
        <v>123</v>
      </c>
      <c r="C16" s="24" t="s">
        <v>124</v>
      </c>
    </row>
  </sheetData>
  <hyperlinks>
    <hyperlink ref="C6" r:id="rId1" xr:uid="{979F49E8-EDBD-415D-B591-E9AF1CDB55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2024-11-18T06:30:36Z</dcterms:created>
  <dcterms:modified xsi:type="dcterms:W3CDTF">2026-07-07T00:47:33Z</dcterms:modified>
</cp:coreProperties>
</file>